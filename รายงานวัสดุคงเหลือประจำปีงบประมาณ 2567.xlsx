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3869647919666/OneDrive HRT/1.เอกสารฝ่ายแผนและงบประมาณ/16.ตรวจสอบพัสดุประจำปีและจำหน่าย/2567/ขั้นที่ 1 การตรวจสอบพัสดุประจำปี 67/"/>
    </mc:Choice>
  </mc:AlternateContent>
  <xr:revisionPtr revIDLastSave="1782" documentId="13_ncr:1_{A5167F3B-8DE2-4053-9E94-52BB45DAC9CF}" xr6:coauthVersionLast="47" xr6:coauthVersionMax="47" xr10:uidLastSave="{484D584D-26DC-4B31-A9A5-EBDA15B8E469}"/>
  <bookViews>
    <workbookView xWindow="-120" yWindow="-120" windowWidth="24240" windowHeight="13020" activeTab="5" xr2:uid="{CB78C1ED-C72F-4B56-804B-84D2E1BC60C0}"/>
  </bookViews>
  <sheets>
    <sheet name="สำนักงาน" sheetId="3" r:id="rId1"/>
    <sheet name="วัสดุคอมพิวเตอร์" sheetId="1" r:id="rId2"/>
    <sheet name="งานบ้านงานครัว" sheetId="2" r:id="rId3"/>
    <sheet name="วิทยาศาสตร์" sheetId="8" r:id="rId4"/>
    <sheet name="ไฟฟ้า" sheetId="4" r:id="rId5"/>
    <sheet name="ก่อสร้าง" sheetId="5" r:id="rId6"/>
    <sheet name="Sheet1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9" i="1" s="1"/>
  <c r="F11" i="1"/>
  <c r="F12" i="1"/>
  <c r="F13" i="1"/>
  <c r="F14" i="1"/>
  <c r="F15" i="1"/>
  <c r="F16" i="1"/>
  <c r="F17" i="1"/>
  <c r="F18" i="1"/>
  <c r="F5" i="1"/>
  <c r="F80" i="8"/>
  <c r="F81" i="8"/>
  <c r="F82" i="8"/>
  <c r="F83" i="8"/>
  <c r="F84" i="8"/>
  <c r="F85" i="8"/>
  <c r="F86" i="8"/>
  <c r="F87" i="8"/>
  <c r="F79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42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4" i="8"/>
  <c r="F70" i="4"/>
  <c r="F71" i="4"/>
  <c r="F72" i="4"/>
  <c r="F73" i="4"/>
  <c r="F74" i="4"/>
  <c r="F75" i="4"/>
  <c r="F76" i="4"/>
  <c r="F77" i="4"/>
  <c r="F78" i="4"/>
  <c r="F79" i="4"/>
  <c r="F69" i="4"/>
  <c r="F38" i="4"/>
  <c r="F39" i="4"/>
  <c r="F40" i="4"/>
  <c r="F41" i="4"/>
  <c r="F42" i="4"/>
  <c r="F43" i="4"/>
  <c r="F44" i="4"/>
  <c r="F45" i="4"/>
  <c r="F37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4" i="4"/>
  <c r="D80" i="4"/>
  <c r="F197" i="3"/>
  <c r="F196" i="3"/>
  <c r="F195" i="3"/>
  <c r="F194" i="3"/>
  <c r="F191" i="3"/>
  <c r="F192" i="3"/>
  <c r="F193" i="3"/>
  <c r="F190" i="3"/>
  <c r="D198" i="3"/>
  <c r="F161" i="3"/>
  <c r="F162" i="3"/>
  <c r="F163" i="3"/>
  <c r="F164" i="3"/>
  <c r="F153" i="3"/>
  <c r="F154" i="3"/>
  <c r="F155" i="3"/>
  <c r="F156" i="3"/>
  <c r="F157" i="3"/>
  <c r="F158" i="3"/>
  <c r="F159" i="3"/>
  <c r="F160" i="3"/>
  <c r="D165" i="3"/>
  <c r="F131" i="3"/>
  <c r="F132" i="3"/>
  <c r="F130" i="3"/>
  <c r="F127" i="3"/>
  <c r="F128" i="3"/>
  <c r="F129" i="3"/>
  <c r="F117" i="3"/>
  <c r="F118" i="3"/>
  <c r="F119" i="3"/>
  <c r="F120" i="3"/>
  <c r="F121" i="3"/>
  <c r="F122" i="3"/>
  <c r="F123" i="3"/>
  <c r="F124" i="3"/>
  <c r="F125" i="3"/>
  <c r="F126" i="3"/>
  <c r="F86" i="3"/>
  <c r="F87" i="3"/>
  <c r="F88" i="3"/>
  <c r="F89" i="3"/>
  <c r="F90" i="3"/>
  <c r="F91" i="3"/>
  <c r="F92" i="3"/>
  <c r="F85" i="3"/>
  <c r="F116" i="3"/>
  <c r="F81" i="3"/>
  <c r="F82" i="3"/>
  <c r="F83" i="3"/>
  <c r="F84" i="3"/>
  <c r="D93" i="3"/>
  <c r="F18" i="2"/>
  <c r="F19" i="2"/>
  <c r="F20" i="2"/>
  <c r="F21" i="2"/>
  <c r="F43" i="3"/>
  <c r="F44" i="3"/>
  <c r="F45" i="3"/>
  <c r="F46" i="3"/>
  <c r="F47" i="3"/>
  <c r="F48" i="3"/>
  <c r="F49" i="3"/>
  <c r="F50" i="3"/>
  <c r="F51" i="3"/>
  <c r="F52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D16" i="6"/>
  <c r="F6" i="5"/>
  <c r="F7" i="5"/>
  <c r="F8" i="5"/>
  <c r="F9" i="5"/>
  <c r="F10" i="5"/>
  <c r="F11" i="5"/>
  <c r="F12" i="5"/>
  <c r="F13" i="5"/>
  <c r="F14" i="5"/>
  <c r="F15" i="5"/>
  <c r="F5" i="5"/>
  <c r="F21" i="8" l="1"/>
  <c r="F41" i="8" s="1"/>
  <c r="F58" i="8" s="1"/>
  <c r="F78" i="8" s="1"/>
  <c r="F88" i="8" s="1"/>
  <c r="D16" i="5"/>
  <c r="F16" i="5"/>
  <c r="D46" i="4"/>
  <c r="D20" i="4" l="1"/>
  <c r="F20" i="4"/>
  <c r="F36" i="4" s="1"/>
  <c r="F46" i="4" s="1"/>
  <c r="F68" i="4" s="1"/>
  <c r="F80" i="4" s="1"/>
  <c r="F6" i="2"/>
  <c r="F7" i="2"/>
  <c r="F8" i="2"/>
  <c r="F9" i="2"/>
  <c r="F10" i="2"/>
  <c r="F11" i="2"/>
  <c r="F12" i="2"/>
  <c r="F13" i="2"/>
  <c r="F14" i="2"/>
  <c r="F15" i="2"/>
  <c r="F16" i="2"/>
  <c r="F17" i="2"/>
  <c r="F5" i="2"/>
  <c r="D19" i="1"/>
  <c r="F54" i="3"/>
  <c r="F55" i="3"/>
  <c r="F56" i="3"/>
  <c r="F78" i="3"/>
  <c r="F79" i="3"/>
  <c r="F80" i="3"/>
  <c r="F53" i="3"/>
  <c r="F42" i="3"/>
  <c r="D133" i="3"/>
  <c r="D57" i="3"/>
  <c r="F23" i="3"/>
  <c r="F8" i="3"/>
  <c r="F22" i="2" l="1"/>
  <c r="F24" i="3"/>
  <c r="F41" i="3" s="1"/>
  <c r="F57" i="3" s="1"/>
  <c r="F77" i="3" s="1"/>
  <c r="F93" i="3" l="1"/>
  <c r="F115" i="3" s="1"/>
  <c r="F133" i="3" s="1"/>
  <c r="F152" i="3" s="1"/>
  <c r="F165" i="3" s="1"/>
  <c r="F189" i="3" s="1"/>
  <c r="F198" i="3" s="1"/>
  <c r="D24" i="3"/>
</calcChain>
</file>

<file path=xl/sharedStrings.xml><?xml version="1.0" encoding="utf-8"?>
<sst xmlns="http://schemas.openxmlformats.org/spreadsheetml/2006/main" count="544" uniqueCount="252">
  <si>
    <t>สรุปรายการวัสดุคงเหลือ</t>
  </si>
  <si>
    <t>ลำดับ</t>
  </si>
  <si>
    <t>รายการ</t>
  </si>
  <si>
    <t>ปริมาณ</t>
  </si>
  <si>
    <t>หน่วยนับ</t>
  </si>
  <si>
    <t>ราคา/หน่วย</t>
  </si>
  <si>
    <t>จำนวนเงิน</t>
  </si>
  <si>
    <t>วัสดุสำนักงาน</t>
  </si>
  <si>
    <t>กระดาษถ่ายเอกสาร A4</t>
  </si>
  <si>
    <t>รีม</t>
  </si>
  <si>
    <t>พลาสติกเคลือบบัตร A4 125 mic 100 แผ่น</t>
  </si>
  <si>
    <t>ห่อ</t>
  </si>
  <si>
    <t>อัน</t>
  </si>
  <si>
    <t>เล่ม</t>
  </si>
  <si>
    <t>สมุดลงเวลาปฏิบัติงาน</t>
  </si>
  <si>
    <t>แฟ้มซองพลาสติก A4</t>
  </si>
  <si>
    <t>แฟ้ม</t>
  </si>
  <si>
    <t>สันห่วงกระดูกงู 25 มม</t>
  </si>
  <si>
    <t>เส้น</t>
  </si>
  <si>
    <t>ขี้ผึ้งนับแบงค์</t>
  </si>
  <si>
    <t>ม้วน</t>
  </si>
  <si>
    <t>กระดาษการ์ดใบประกาศนียบัตร B5</t>
  </si>
  <si>
    <t>กระดาษการ์ดใบประกาศนียบัตร A5</t>
  </si>
  <si>
    <t>ยอดยกไป</t>
  </si>
  <si>
    <t>ยอดยกมา</t>
  </si>
  <si>
    <t>กระดาษโฟโต้ A4 180 แกรม  100 แผ่น</t>
  </si>
  <si>
    <t>สติ๊กเกอร์กระดาษ A4 พีวีซีใส 50 แผ่น</t>
  </si>
  <si>
    <t>เทปเยื่อกาว 2 หน้า 1/2 นิ้ว x 20 หลา (12ม)</t>
  </si>
  <si>
    <t>เทปผ้า 1-1/2 นิ้ว/36 มม. X 9 หลา</t>
  </si>
  <si>
    <t>กล่อง</t>
  </si>
  <si>
    <t>เทปใส 500 18 มม. X 33 ม. แกน 1 นิ้ว</t>
  </si>
  <si>
    <t>แฟ้ม 2 ห่วง 221VB A4 วิวบายเดอรร์ (สีส้ม)</t>
  </si>
  <si>
    <t>แฟ้มสันกว้าง 3 นิ้ว ตราช้าง 2100A4</t>
  </si>
  <si>
    <t>โหล</t>
  </si>
  <si>
    <t>แท่นประทับตรายาง เบอร์ 2 แดง</t>
  </si>
  <si>
    <t>กาวลาเท็กซ์ TOA 8 ออนซ์</t>
  </si>
  <si>
    <t>ขวด</t>
  </si>
  <si>
    <t>ถ่าน AA ALKALINE</t>
  </si>
  <si>
    <t>แพ็ค</t>
  </si>
  <si>
    <t>ปืนกาวเล็ก</t>
  </si>
  <si>
    <t>แฟ้ม 2 ห่วง สัน 1 นิ้ว 210P F ดำ</t>
  </si>
  <si>
    <t>หมึกเครื่องถ่ายเอกสาร Sharp MX-500AT ดำ</t>
  </si>
  <si>
    <t>เครื่อง</t>
  </si>
  <si>
    <t>สันห่วงกระดูกงู 20 มม. (10 เส้น/แพ็ค)</t>
  </si>
  <si>
    <t>แผ่น</t>
  </si>
  <si>
    <t>กระดาษการ์ดสี A4/120 แกรม 180 แผ่น ชมพู</t>
  </si>
  <si>
    <t>กระดาษการ์ดสี A4/120 แกรม 180 แผ่น เขียว</t>
  </si>
  <si>
    <t>กระดาษการ์ดสี A4/120 แกรม 180 แผ่น เหลือง</t>
  </si>
  <si>
    <t>กระดาษการ์ดขาว A4/180 แกรม 100 แผ่น</t>
  </si>
  <si>
    <t>เทปโฟมกาวสองหน้า ขนาด 21 มม.x 5 ม</t>
  </si>
  <si>
    <t>แท่นประทับตรายาง เบอร์ 2 น้ำเงิน</t>
  </si>
  <si>
    <t>ที่ถอนลวด  ชนิดคีม</t>
  </si>
  <si>
    <t>หมึกเติมไวท์บอร์ด ดำ</t>
  </si>
  <si>
    <t>หมึกเติมไวท์บอร์ด แดง</t>
  </si>
  <si>
    <t>หมึกเติมไวท์บอร์ด น้ำเงิน</t>
  </si>
  <si>
    <t>คลิปดำ เบอร์ 109</t>
  </si>
  <si>
    <t>คลิปดำ เบอร์ 110</t>
  </si>
  <si>
    <t>ลิ้นแฟ้มพลาสติก</t>
  </si>
  <si>
    <t>เครื่องเย็บกระดาษ คละสี</t>
  </si>
  <si>
    <t>พลาสติกใส ปกรายงาน A4</t>
  </si>
  <si>
    <t>แฟ้ม 3 ห่วง สัน 2 นิ้ว 20 ซอง</t>
  </si>
  <si>
    <t>ฟิวเจอร์บอร์ด 130x245 ซม. 5 มม</t>
  </si>
  <si>
    <t>กระดาษโปสเตอร์สีบาง 2 หน้า 52x68 ซม (คละสี)</t>
  </si>
  <si>
    <t>กรรไกร 8 นิ้ว</t>
  </si>
  <si>
    <t>มีดคัตเตอร์ 9 มม. สแตนเลส</t>
  </si>
  <si>
    <t>แฟ้มซอง 2 กระดุม ขยายข้าง F4</t>
  </si>
  <si>
    <t>ซอง</t>
  </si>
  <si>
    <t>รวมเป็นเงิน</t>
  </si>
  <si>
    <t>วัสดุคอมพิวเตอร์</t>
  </si>
  <si>
    <t>Flash Drive 64 GB Kingston</t>
  </si>
  <si>
    <t>Wireless USB adapter Tp - link</t>
  </si>
  <si>
    <t>ชุด</t>
  </si>
  <si>
    <t>หมึกปริ้นเตอร์ CANON G4010 (สีดำ)</t>
  </si>
  <si>
    <t>Logitech Wireless Mouse M171 (แบบไร้สาย)</t>
  </si>
  <si>
    <t>Mouse USB Logitech B100 (แบบมีสาย)</t>
  </si>
  <si>
    <t>External Harddisk 1 TB (WD)</t>
  </si>
  <si>
    <t>วัสดุงานบ้านงานครัว</t>
  </si>
  <si>
    <t>กระดาษทิชชู่ กล่อง</t>
  </si>
  <si>
    <t>ผ้าถูพื้น ขนาด 10 นิ้ว</t>
  </si>
  <si>
    <t>ผืน</t>
  </si>
  <si>
    <t>ผงซักฟอก 900 กรัม</t>
  </si>
  <si>
    <t>ถุง</t>
  </si>
  <si>
    <t>กระป๋อง</t>
  </si>
  <si>
    <t>สบู่เหลวล้างมือ 5,000 มล</t>
  </si>
  <si>
    <t>แกลลอน</t>
  </si>
  <si>
    <t>ใบ</t>
  </si>
  <si>
    <t>ถุงดำ ขนาด 36x45 นิ้ว</t>
  </si>
  <si>
    <t>ถุงดำ ขนาด 18x20 นิ้ว</t>
  </si>
  <si>
    <t>วัสดุไฟฟ้า</t>
  </si>
  <si>
    <t>Flood light LED 200w</t>
  </si>
  <si>
    <t>Flood light LED 100w</t>
  </si>
  <si>
    <t>ปลั๊กกราวด์คู่</t>
  </si>
  <si>
    <t>หน้ากาก 3 ช่อง</t>
  </si>
  <si>
    <t>เบรคเกอร์ 30A</t>
  </si>
  <si>
    <t>โคมไฟฟ้าแบบอกไก่ LED 2x18w</t>
  </si>
  <si>
    <t>หลอดไฟ LED Highbuld E27 100w</t>
  </si>
  <si>
    <t>หลอดนีออน LED 9W เดย์ไลท์ ECO</t>
  </si>
  <si>
    <t>หลอดนีออน LED 18W เดย์ไลท์ ECO</t>
  </si>
  <si>
    <t>โคมไฟตัวยูสีใส 2x18W ขาสปริง มี 33 โคม</t>
  </si>
  <si>
    <t>โคมไฟตัวยูสีใส 2x40W ขาสปริง มี 41 โคม</t>
  </si>
  <si>
    <t>ฝาพลาสติก 1 ช่องใหม่</t>
  </si>
  <si>
    <t>ฝาพลาสติก 4 ช่องใหม่</t>
  </si>
  <si>
    <t>บล็อกลอย 2x4 รุ่นใหม่</t>
  </si>
  <si>
    <t>สวิทซ์ทางเดียว รุ่นใหม่</t>
  </si>
  <si>
    <t>วัสดุก่อสร้าง</t>
  </si>
  <si>
    <t>ข้องอ PVC 3/4 นิ้ว</t>
  </si>
  <si>
    <t>เทปพันเกลียว</t>
  </si>
  <si>
    <t>BALL Valve PVC 1/2"</t>
  </si>
  <si>
    <t>กาวทาท่อกระป๋องเล็ก</t>
  </si>
  <si>
    <t>กาวทาท่อแบบหลอด SCG</t>
  </si>
  <si>
    <t>ก๊อกอ่างล้างมือ</t>
  </si>
  <si>
    <t>สายฉีดชำระ</t>
  </si>
  <si>
    <t>เคเบิ้ลไทล์ ขนาด 6 นิ้ว</t>
  </si>
  <si>
    <t>เคเบิ้ลไทล์ ขนาด 10 นิ้ว</t>
  </si>
  <si>
    <t>องค์การบริหารส่วนจังหวัดสระบุรี อำเภอเมืองสระบุรี  จังหวัดสระบุรี</t>
  </si>
  <si>
    <t>หน่วยงาน  โรงเรียนหรเทพ(รุ่งเรืองประชาสามัคคี)</t>
  </si>
  <si>
    <t>จำนวนเงิน(บาท)</t>
  </si>
  <si>
    <t>หมายเหตุ</t>
  </si>
  <si>
    <t xml:space="preserve"> </t>
  </si>
  <si>
    <t>วัสดุไฟฟ้าและวิทยุ</t>
  </si>
  <si>
    <t>รวมทั้งสิ้น</t>
  </si>
  <si>
    <t>รายงานวัสดุคงเหลือ</t>
  </si>
  <si>
    <t>ณ วันที่ 30 กันยายน 2567</t>
  </si>
  <si>
    <t>โรงเรียนหรเทพ(รุ่งเรืองประชาสามัคคี) สังกัด กองการศึกษา ศาสนาและวัฒนธรรม</t>
  </si>
  <si>
    <t>สมุดจดหมายเหตุรายวัน</t>
  </si>
  <si>
    <t>ไส้แฟ้มซองอเนกประสงค์ A4 0.05 แกรม</t>
  </si>
  <si>
    <t>ถังพลาสติกหูหิ้ว</t>
  </si>
  <si>
    <t>ถังขยะฝาปิด ขนาด 30 ลิตร</t>
  </si>
  <si>
    <t>น้ำยาล้างจาน 750 มล.</t>
  </si>
  <si>
    <t>น้ำยาล้างจาน 3200 มล.</t>
  </si>
  <si>
    <t>สก๊อตไบรต์ ฟองน้ำ 3x4 นิ้ว</t>
  </si>
  <si>
    <t>สเปรย์ปรับอากาศ 320 มล.</t>
  </si>
  <si>
    <t>พรมเช็ดเท้า</t>
  </si>
  <si>
    <t>สเปรย์กำจัดยุง แมลง 600 มล.</t>
  </si>
  <si>
    <t>ก้อนดับกลิ่น(คละกลิ่น)</t>
  </si>
  <si>
    <t>ชุดถังปั่นเดี่ยวรุ่นพรีเมี่ยม พร้อมไม้ถูพื้น</t>
  </si>
  <si>
    <t>วัสดุวิทยาศาสตร์หรือการแพทย์</t>
  </si>
  <si>
    <t>ซองขาว 9/100 ครุฑ (500 ซอง/กล่อง)</t>
  </si>
  <si>
    <t>ซองน้ำตาล ขยายข้าง</t>
  </si>
  <si>
    <t>พาราเซตามอล  ไทลินอล 500 mg 100 เม็ด</t>
  </si>
  <si>
    <t>ผ้าก๊อส 2x2 นิ้ว</t>
  </si>
  <si>
    <t>ผ้าก๊อส 3x3 นิ้ว</t>
  </si>
  <si>
    <t>ผ้าก๊อส 4x4 นิ้ว</t>
  </si>
  <si>
    <t xml:space="preserve">เบตาดีน 30 ml </t>
  </si>
  <si>
    <t>น้ำเกลือ klean&amp;Kare 1000 ml</t>
  </si>
  <si>
    <t>ยาหม่อง ตราถ้วยทอง 22 g</t>
  </si>
  <si>
    <t>เครื่องคิดเลข CASIO DX-120B</t>
  </si>
  <si>
    <t>ฟิวเจอร์บอร์ด ขนาด 65x49 ซม. 3 มม. (คละสี)</t>
  </si>
  <si>
    <t>ลวดเสียบกระดาษ  (50ตัว/กล่อง)</t>
  </si>
  <si>
    <t xml:space="preserve">แฟ้ม 3 ห่วง สัน 1 นิ้ว 20 ซอง 231 A4 </t>
  </si>
  <si>
    <t xml:space="preserve">สำลีก้านพันไม้ size L </t>
  </si>
  <si>
    <t>Air-X  (รสมะนาว+ส้ม+มิ้นท์)</t>
  </si>
  <si>
    <t>แผง</t>
  </si>
  <si>
    <t>หลอด</t>
  </si>
  <si>
    <t>ยาแก้ท้องเสีย ผงถ่านคาร์บอน CA-R-BON</t>
  </si>
  <si>
    <t xml:space="preserve">ครีมทาบรรเทาปวด ลดอักเสบ </t>
  </si>
  <si>
    <t>Kremil ลดอาการจุกเสียด แน่นท้อง</t>
  </si>
  <si>
    <t>Kremil-S ลดกรด แก้ปวดท้อง ท้องอืด</t>
  </si>
  <si>
    <t xml:space="preserve">เจลประคบร้อน-เย็น </t>
  </si>
  <si>
    <t>ปากกาเคมี 2 หัว น้ำเงิน</t>
  </si>
  <si>
    <t>ด้าม</t>
  </si>
  <si>
    <t>ปากกาไวท์บอร์ด  น้ำเงิน</t>
  </si>
  <si>
    <t>สีไม้ 24 สี</t>
  </si>
  <si>
    <t xml:space="preserve">ธงชาติ 60x90 ซม.  </t>
  </si>
  <si>
    <t xml:space="preserve">ธงชาติ 120x180 ซม.  </t>
  </si>
  <si>
    <t>คลิปดำ  19 มม. เบอร์ 112</t>
  </si>
  <si>
    <t>แผ่นใสปกรายงาน A4 (100แผ่น)</t>
  </si>
  <si>
    <t>ลวดยิงแม็กซ์ T3-10MB</t>
  </si>
  <si>
    <t>ลวดยิงแม็กซ์ T3-13MB</t>
  </si>
  <si>
    <t>ลวดเย็บกระดาษ ขนาด 23/13 (1213)</t>
  </si>
  <si>
    <t>ลวดเย็บกระดาษ ขนาด 23/14 (1215)</t>
  </si>
  <si>
    <t>ลวดเย็บกระดาษ ขนาด 23/17 (1217)</t>
  </si>
  <si>
    <t>อินเด็กซ์ฟิล์ม 12x45 มม. 5 สี</t>
  </si>
  <si>
    <t>ถ่าน AAA ALKALINE (2ก้อน/แพ็ค)</t>
  </si>
  <si>
    <t>ทะเบียนหนังสือรับ A4</t>
  </si>
  <si>
    <t>ทะเบียนหนังสือส่ง A4</t>
  </si>
  <si>
    <t>สมุดกล่าวรายงาน A4</t>
  </si>
  <si>
    <t>แซมบัค 36 g</t>
  </si>
  <si>
    <t xml:space="preserve">แอลกอฮอล์ 450 ml </t>
  </si>
  <si>
    <t xml:space="preserve">เทปแต่งแผลชนิดใส 3M  1 นิ้ว x 10 หลา </t>
  </si>
  <si>
    <t>ยาอมโพรโพลิส แก้เจ็บคอ ลดการระคายคอ</t>
  </si>
  <si>
    <t xml:space="preserve">Vicks vaporub 10 g </t>
  </si>
  <si>
    <t>ตลับ</t>
  </si>
  <si>
    <t>คลิปบอร์ดพลาสติก A4 A441 (คละสี)</t>
  </si>
  <si>
    <t>เครื่องยิงบอร์ด แมกซ์ TG-D</t>
  </si>
  <si>
    <t>เครื่องเย็บกระดาษ แม๊กซ์ HD-10N</t>
  </si>
  <si>
    <t>กระดาษคำตอบ 60 ข้อ</t>
  </si>
  <si>
    <t xml:space="preserve">ถุงมือ ไซด์ M </t>
  </si>
  <si>
    <t>ถุงมือ ไซด์ L</t>
  </si>
  <si>
    <t>ยาแก้คลื่นไส้ อาเจียน Domperidone suspension ๓๐ml</t>
  </si>
  <si>
    <t>กระดาษทำปก A4/120แกรม 50แผ่น  ส้ม</t>
  </si>
  <si>
    <t>กระดาษการ์ดสี A4/150 แกรม 150 แผ่น เหลือง</t>
  </si>
  <si>
    <t>กรรไกร ขนาด 9 นิ้ว</t>
  </si>
  <si>
    <t>ไส้ปืนกาวเล็ก</t>
  </si>
  <si>
    <t>กิโลกรัม</t>
  </si>
  <si>
    <t>หมึกเครื่องถ่ายเอกสาร Sharp MX-237AT ดำ</t>
  </si>
  <si>
    <t>สติ๊กเกอร์กระดาษ A4 ขาวด้าน 50 แผ่น</t>
  </si>
  <si>
    <t>แฟ้มสันกว้าง 2 นิ้ว ตราช้าง 2101A4 (สีม่วงพาสเทล)</t>
  </si>
  <si>
    <t>เทปผ้า 1 นิ้ว/24มม.x9 หลา (คละสี)</t>
  </si>
  <si>
    <t>ยาลดกรดในกระเพาะอาหาร เบลสิด  240 ml</t>
  </si>
  <si>
    <t xml:space="preserve">คาลาไมน์ เสือดาว 120 ml  </t>
  </si>
  <si>
    <t>Mixture carminative 450 ml</t>
  </si>
  <si>
    <t>เกลือแร่ (กลิ่นส้ม) ออรีด้า ๓.๓ g 100 ซอง</t>
  </si>
  <si>
    <t xml:space="preserve">พลาสเตอร์ยา นีโอพลาสท์-เอส 100 แผ่น </t>
  </si>
  <si>
    <t>ยาล้างตา ออฟซ่าร์ 120 ml</t>
  </si>
  <si>
    <t>ยาธาตุน้ำขาว กระต่ายบิน 200 ml</t>
  </si>
  <si>
    <t>ยาธาตุน้ำแดง วิทยาศรม 500 ml</t>
  </si>
  <si>
    <t xml:space="preserve">ยาแก้แพ้ แก้คัน Cetirizine </t>
  </si>
  <si>
    <t xml:space="preserve">ยาแก้ปวดท้องประจำเดือนAnalgic </t>
  </si>
  <si>
    <t xml:space="preserve">เทปแต่งแผลชนิดใส 3M </t>
  </si>
  <si>
    <t>สำลี ตรานางพยาบาล แบบแผ่น 40 g</t>
  </si>
  <si>
    <t>เบธาโซน ครีม 15 g</t>
  </si>
  <si>
    <t xml:space="preserve">Tacinol 0.1% 15 g </t>
  </si>
  <si>
    <t xml:space="preserve">เดลตอล น้ำยาฆ่าเชื้อโรค 1,000 ml </t>
  </si>
  <si>
    <t>ซาร่า ยาพาราเซตามอล 120 mg (เด็กเล็ก) 60 ml</t>
  </si>
  <si>
    <t>ซาร่า ยาพาราเซตามอล 250 mg (เด็กโต) 60 ml</t>
  </si>
  <si>
    <t>ยาแก้ไอ ละลายเสมหะ Dutross 60 ml</t>
  </si>
  <si>
    <t>ยาแก้แพ้ ผื่นคัน ลมพิษ ลดน้ำมูก คัดจมูก Alerest 60 ml</t>
  </si>
  <si>
    <t>ยาน้ำแก้ไอ อาปาเช่ มะขามป้อม 60 ml</t>
  </si>
  <si>
    <t>ข้อต่อตรง PVC 1.5 นิ้ว</t>
  </si>
  <si>
    <t>ตัว</t>
  </si>
  <si>
    <t>สามทางลดPVC 1.5 นิ้ว 1 นิ้ว</t>
  </si>
  <si>
    <t>Sinotimer ป้องกันไฟเกินไฟตก</t>
  </si>
  <si>
    <t>แท่งกราวด์ทองแดง ๑๘๐ cm.</t>
  </si>
  <si>
    <t>เทปพันสายไฟ ๓M</t>
  </si>
  <si>
    <t>สายไฟ VAF ๒x๒.๕</t>
  </si>
  <si>
    <t>ชุดปลั๊กพ่วง ๔ ทาง ๓๐ เมตร</t>
  </si>
  <si>
    <t>ท่อร้อยสายไฟขาว ๑ mm.</t>
  </si>
  <si>
    <t>ก้ามปูรัดท่อขาว ๑๖ mm.</t>
  </si>
  <si>
    <t>คอนเนคเตอร์เข้ากล่อง สีขาว ๒๖ mm.</t>
  </si>
  <si>
    <t>ข้อต่อตรงท่อร้อยสายไฟสีขาว ๑๖ mm.</t>
  </si>
  <si>
    <t xml:space="preserve">หลอด LED ๑๘w daylight </t>
  </si>
  <si>
    <t>แท่ง</t>
  </si>
  <si>
    <t>โคมอกไก่ ๒x๓๖w พร้อมนีออน LED T๘ ๔๐w</t>
  </si>
  <si>
    <t>ปลั๊กกราวด์เดี่ยว รุ่นใหม่</t>
  </si>
  <si>
    <t>ปลั๊กคู่มีกราวด์ รุ่นใหม่</t>
  </si>
  <si>
    <t>ฝาพลาสติก ๑ ช่อง</t>
  </si>
  <si>
    <t>ฝาพลาสติก ๒ ช่อง</t>
  </si>
  <si>
    <t>ฝาพลาสติก ๓ ช่อง</t>
  </si>
  <si>
    <t>ฝาพลาสติก ๔ ช่อง</t>
  </si>
  <si>
    <t xml:space="preserve">บล็อกลอย ๒x๔ </t>
  </si>
  <si>
    <t>บล็อกลอย ๔x๔</t>
  </si>
  <si>
    <t>ปลั๊กยางผู้ ๓ ขา</t>
  </si>
  <si>
    <t>ชุดเซ็ท T8 18w</t>
  </si>
  <si>
    <t>ถ่านสำหรับแมนบอร์ด Panasonic CR2032</t>
  </si>
  <si>
    <t>USB 3.1 Spliiter Multiport Adapter 7 port Hub</t>
  </si>
  <si>
    <t>หมึกปริ้นเตอร์ CANON G4010</t>
  </si>
  <si>
    <t>แผ่นรองเมาส์</t>
  </si>
  <si>
    <t>ริบบอนสี เครื่องพิมพ์บัตร CS-200e</t>
  </si>
  <si>
    <t>ริบบอนสีดำ เครื่องพิมพ์บัตร CS-200e</t>
  </si>
  <si>
    <t>HDMI 4k splitter 4 channel (1x4)</t>
  </si>
  <si>
    <t>แผ่นรองเมาส์ ขนาด 2XL Short 900 x300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</si>
</sst>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6"/>
      <color theme="1"/>
      <name val="TH SarabunIT๙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sz val="16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43" fontId="2" fillId="0" borderId="1" xfId="1" applyFont="1" applyBorder="1"/>
    <xf numFmtId="43" fontId="2" fillId="0" borderId="1" xfId="0" applyNumberFormat="1" applyFont="1" applyBorder="1"/>
    <xf numFmtId="4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0" fontId="2" fillId="0" borderId="3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right" vertical="top"/>
    </xf>
    <xf numFmtId="43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center"/>
    </xf>
    <xf numFmtId="43" fontId="7" fillId="0" borderId="1" xfId="1" applyFont="1" applyBorder="1" applyAlignment="1">
      <alignment horizontal="center"/>
    </xf>
    <xf numFmtId="43" fontId="2" fillId="0" borderId="0" xfId="0" applyNumberFormat="1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1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right"/>
    </xf>
    <xf numFmtId="43" fontId="7" fillId="0" borderId="1" xfId="0" applyNumberFormat="1" applyFont="1" applyBorder="1" applyAlignment="1">
      <alignment horizontal="right"/>
    </xf>
    <xf numFmtId="0" fontId="7" fillId="0" borderId="0" xfId="0" applyFont="1"/>
    <xf numFmtId="43" fontId="7" fillId="0" borderId="1" xfId="1" applyFont="1" applyBorder="1" applyAlignment="1">
      <alignment horizontal="right"/>
    </xf>
    <xf numFmtId="43" fontId="7" fillId="0" borderId="1" xfId="0" applyNumberFormat="1" applyFont="1" applyBorder="1"/>
    <xf numFmtId="4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 vertical="top"/>
    </xf>
    <xf numFmtId="43" fontId="7" fillId="0" borderId="1" xfId="0" applyNumberFormat="1" applyFont="1" applyBorder="1" applyAlignment="1">
      <alignment horizontal="center" vertical="top"/>
    </xf>
    <xf numFmtId="2" fontId="7" fillId="0" borderId="1" xfId="0" applyNumberFormat="1" applyFont="1" applyBorder="1" applyAlignment="1">
      <alignment horizontal="right" vertical="top"/>
    </xf>
    <xf numFmtId="43" fontId="7" fillId="0" borderId="1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3" xfId="0" applyFont="1" applyBorder="1"/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3" fontId="2" fillId="0" borderId="7" xfId="1" applyFont="1" applyBorder="1"/>
    <xf numFmtId="0" fontId="2" fillId="0" borderId="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  <xf numFmtId="2" fontId="9" fillId="0" borderId="6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5" xfId="0" applyFont="1" applyBorder="1"/>
    <xf numFmtId="43" fontId="2" fillId="0" borderId="3" xfId="0" applyNumberFormat="1" applyFont="1" applyBorder="1"/>
    <xf numFmtId="2" fontId="2" fillId="0" borderId="1" xfId="1" applyNumberFormat="1" applyFont="1" applyBorder="1"/>
    <xf numFmtId="2" fontId="2" fillId="0" borderId="1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 shrinkToFit="1"/>
    </xf>
    <xf numFmtId="0" fontId="10" fillId="0" borderId="11" xfId="0" applyFont="1" applyBorder="1"/>
    <xf numFmtId="0" fontId="10" fillId="0" borderId="8" xfId="0" applyFont="1" applyBorder="1" applyAlignment="1">
      <alignment horizontal="left"/>
    </xf>
    <xf numFmtId="2" fontId="2" fillId="0" borderId="1" xfId="0" applyNumberFormat="1" applyFont="1" applyBorder="1" applyAlignment="1">
      <alignment horizontal="right" vertical="top"/>
    </xf>
    <xf numFmtId="43" fontId="2" fillId="0" borderId="1" xfId="0" applyNumberFormat="1" applyFont="1" applyBorder="1" applyAlignment="1">
      <alignment horizontal="right" vertical="top"/>
    </xf>
    <xf numFmtId="0" fontId="10" fillId="0" borderId="5" xfId="0" applyFont="1" applyBorder="1" applyAlignment="1">
      <alignment horizontal="left"/>
    </xf>
    <xf numFmtId="0" fontId="11" fillId="0" borderId="11" xfId="0" applyFont="1" applyBorder="1"/>
    <xf numFmtId="0" fontId="11" fillId="0" borderId="5" xfId="0" applyFont="1" applyBorder="1" applyAlignment="1">
      <alignment vertical="center" shrinkToFit="1"/>
    </xf>
    <xf numFmtId="2" fontId="7" fillId="0" borderId="1" xfId="0" applyNumberFormat="1" applyFont="1" applyBorder="1"/>
    <xf numFmtId="43" fontId="7" fillId="0" borderId="1" xfId="1" applyFont="1" applyBorder="1"/>
    <xf numFmtId="0" fontId="9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3" fontId="2" fillId="0" borderId="2" xfId="1" applyFont="1" applyBorder="1" applyAlignment="1">
      <alignment horizontal="center"/>
    </xf>
    <xf numFmtId="43" fontId="2" fillId="0" borderId="7" xfId="0" applyNumberFormat="1" applyFont="1" applyBorder="1"/>
    <xf numFmtId="2" fontId="2" fillId="0" borderId="1" xfId="0" applyNumberFormat="1" applyFont="1" applyBorder="1" applyAlignment="1">
      <alignment horizontal="right" vertical="center"/>
    </xf>
    <xf numFmtId="1" fontId="2" fillId="0" borderId="1" xfId="1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43" fontId="2" fillId="0" borderId="1" xfId="1" applyFont="1" applyBorder="1" applyAlignment="1">
      <alignment horizontal="right"/>
    </xf>
    <xf numFmtId="43" fontId="2" fillId="0" borderId="2" xfId="1" applyFont="1" applyBorder="1" applyAlignment="1">
      <alignment horizontal="right"/>
    </xf>
    <xf numFmtId="0" fontId="12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7" xfId="0" applyNumberFormat="1" applyFont="1" applyBorder="1" applyAlignment="1">
      <alignment horizontal="right"/>
    </xf>
    <xf numFmtId="43" fontId="10" fillId="0" borderId="7" xfId="1" applyFont="1" applyBorder="1" applyAlignment="1">
      <alignment horizontal="right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3" fontId="10" fillId="0" borderId="7" xfId="1" applyFont="1" applyBorder="1"/>
    <xf numFmtId="2" fontId="10" fillId="0" borderId="7" xfId="0" applyNumberFormat="1" applyFont="1" applyBorder="1"/>
    <xf numFmtId="0" fontId="10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10" fillId="0" borderId="7" xfId="1" applyFont="1" applyFill="1" applyBorder="1"/>
    <xf numFmtId="2" fontId="10" fillId="0" borderId="7" xfId="2" applyNumberFormat="1" applyFont="1" applyFill="1" applyBorder="1"/>
    <xf numFmtId="2" fontId="10" fillId="0" borderId="1" xfId="0" applyNumberFormat="1" applyFont="1" applyBorder="1"/>
    <xf numFmtId="164" fontId="10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3">
    <cellStyle name="จุลภาค" xfId="1" builtinId="3"/>
    <cellStyle name="จุลภาค 2" xfId="2" xr:uid="{2F724F62-6109-49F0-9369-ED6E6A917B85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1019174</xdr:colOff>
      <xdr:row>24</xdr:row>
      <xdr:rowOff>213360</xdr:rowOff>
    </xdr:from>
    <xdr:to>
      <xdr:col>4</xdr:col>
      <xdr:colOff>504824</xdr:colOff>
      <xdr:row>35</xdr:row>
      <xdr:rowOff>171450</xdr:rowOff>
    </xdr:to>
    <xdr:sp macro="" textlink="">
      <xdr:nvSpPr>
        <xdr:cNvPr id="32" name="กล่องข้อความ 2">
          <a:extLst>
            <a:ext uri="{FF2B5EF4-FFF2-40B4-BE49-F238E27FC236}">
              <a16:creationId xmlns:a16="http://schemas.microsoft.com/office/drawing/2014/main" id="{C654AA76-3DB4-4CE2-BBD0-1035BD10630F}"/>
            </a:ext>
          </a:extLst>
        </xdr:cNvPr>
        <xdr:cNvSpPr txBox="1"/>
      </xdr:nvSpPr>
      <xdr:spPr>
        <a:xfrm>
          <a:off x="1371599" y="6871335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1114425</xdr:colOff>
      <xdr:row>57</xdr:row>
      <xdr:rowOff>257174</xdr:rowOff>
    </xdr:from>
    <xdr:to>
      <xdr:col>5</xdr:col>
      <xdr:colOff>123825</xdr:colOff>
      <xdr:row>70</xdr:row>
      <xdr:rowOff>152399</xdr:rowOff>
    </xdr:to>
    <xdr:sp macro="" textlink="">
      <xdr:nvSpPr>
        <xdr:cNvPr id="37" name="กล่องข้อความ 1">
          <a:extLst>
            <a:ext uri="{FF2B5EF4-FFF2-40B4-BE49-F238E27FC236}">
              <a16:creationId xmlns:a16="http://schemas.microsoft.com/office/drawing/2014/main" id="{89867BED-6D28-46CB-BD02-5D956AA678C1}"/>
            </a:ext>
          </a:extLst>
        </xdr:cNvPr>
        <xdr:cNvSpPr txBox="1"/>
      </xdr:nvSpPr>
      <xdr:spPr>
        <a:xfrm>
          <a:off x="1466850" y="15716249"/>
          <a:ext cx="3819525" cy="3362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895350</xdr:colOff>
      <xdr:row>94</xdr:row>
      <xdr:rowOff>171450</xdr:rowOff>
    </xdr:from>
    <xdr:to>
      <xdr:col>4</xdr:col>
      <xdr:colOff>381000</xdr:colOff>
      <xdr:row>105</xdr:row>
      <xdr:rowOff>129540</xdr:rowOff>
    </xdr:to>
    <xdr:sp macro="" textlink="">
      <xdr:nvSpPr>
        <xdr:cNvPr id="41" name="กล่องข้อความ 14">
          <a:extLst>
            <a:ext uri="{FF2B5EF4-FFF2-40B4-BE49-F238E27FC236}">
              <a16:creationId xmlns:a16="http://schemas.microsoft.com/office/drawing/2014/main" id="{9D328063-DFE2-4E54-85E3-171355050EF4}"/>
            </a:ext>
          </a:extLst>
        </xdr:cNvPr>
        <xdr:cNvSpPr txBox="1"/>
      </xdr:nvSpPr>
      <xdr:spPr>
        <a:xfrm>
          <a:off x="1247775" y="24698325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1133475</xdr:colOff>
      <xdr:row>134</xdr:row>
      <xdr:rowOff>28575</xdr:rowOff>
    </xdr:from>
    <xdr:to>
      <xdr:col>4</xdr:col>
      <xdr:colOff>619125</xdr:colOff>
      <xdr:row>144</xdr:row>
      <xdr:rowOff>253365</xdr:rowOff>
    </xdr:to>
    <xdr:sp macro="" textlink="">
      <xdr:nvSpPr>
        <xdr:cNvPr id="46" name="กล่องข้อความ 15">
          <a:extLst>
            <a:ext uri="{FF2B5EF4-FFF2-40B4-BE49-F238E27FC236}">
              <a16:creationId xmlns:a16="http://schemas.microsoft.com/office/drawing/2014/main" id="{C3E51052-3871-4F88-8BC1-871FEF637E99}"/>
            </a:ext>
          </a:extLst>
        </xdr:cNvPr>
        <xdr:cNvSpPr txBox="1"/>
      </xdr:nvSpPr>
      <xdr:spPr>
        <a:xfrm>
          <a:off x="1485900" y="35756850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1133475</xdr:colOff>
      <xdr:row>166</xdr:row>
      <xdr:rowOff>28575</xdr:rowOff>
    </xdr:from>
    <xdr:to>
      <xdr:col>4</xdr:col>
      <xdr:colOff>619125</xdr:colOff>
      <xdr:row>176</xdr:row>
      <xdr:rowOff>253365</xdr:rowOff>
    </xdr:to>
    <xdr:sp macro="" textlink="">
      <xdr:nvSpPr>
        <xdr:cNvPr id="51" name="กล่องข้อความ 16">
          <a:extLst>
            <a:ext uri="{FF2B5EF4-FFF2-40B4-BE49-F238E27FC236}">
              <a16:creationId xmlns:a16="http://schemas.microsoft.com/office/drawing/2014/main" id="{88404B38-387B-4CA5-8E01-3F6D3816C9E7}"/>
            </a:ext>
          </a:extLst>
        </xdr:cNvPr>
        <xdr:cNvSpPr txBox="1"/>
      </xdr:nvSpPr>
      <xdr:spPr>
        <a:xfrm>
          <a:off x="1485900" y="36023550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1133475</xdr:colOff>
      <xdr:row>199</xdr:row>
      <xdr:rowOff>28575</xdr:rowOff>
    </xdr:from>
    <xdr:to>
      <xdr:col>4</xdr:col>
      <xdr:colOff>619125</xdr:colOff>
      <xdr:row>209</xdr:row>
      <xdr:rowOff>253365</xdr:rowOff>
    </xdr:to>
    <xdr:sp macro="" textlink="">
      <xdr:nvSpPr>
        <xdr:cNvPr id="56" name="กล่องข้อความ 17">
          <a:extLst>
            <a:ext uri="{FF2B5EF4-FFF2-40B4-BE49-F238E27FC236}">
              <a16:creationId xmlns:a16="http://schemas.microsoft.com/office/drawing/2014/main" id="{2975ABFC-3F42-4E9A-87D0-0EE1E797F72C}"/>
            </a:ext>
          </a:extLst>
        </xdr:cNvPr>
        <xdr:cNvSpPr txBox="1"/>
      </xdr:nvSpPr>
      <xdr:spPr>
        <a:xfrm>
          <a:off x="1485900" y="44557950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21</xdr:row>
      <xdr:rowOff>114300</xdr:rowOff>
    </xdr:from>
    <xdr:to>
      <xdr:col>4</xdr:col>
      <xdr:colOff>447675</xdr:colOff>
      <xdr:row>32</xdr:row>
      <xdr:rowOff>72390</xdr:rowOff>
    </xdr:to>
    <xdr:sp macro="" textlink="">
      <xdr:nvSpPr>
        <xdr:cNvPr id="2" name="กล่องข้อความ 2">
          <a:extLst>
            <a:ext uri="{FF2B5EF4-FFF2-40B4-BE49-F238E27FC236}">
              <a16:creationId xmlns:a16="http://schemas.microsoft.com/office/drawing/2014/main" id="{C542BC4F-14CA-4755-9544-EF4FCED9F3D1}"/>
            </a:ext>
          </a:extLst>
        </xdr:cNvPr>
        <xdr:cNvSpPr txBox="1"/>
      </xdr:nvSpPr>
      <xdr:spPr>
        <a:xfrm>
          <a:off x="1400175" y="5981700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777240</xdr:colOff>
      <xdr:row>22</xdr:row>
      <xdr:rowOff>243840</xdr:rowOff>
    </xdr:from>
    <xdr:to>
      <xdr:col>5</xdr:col>
      <xdr:colOff>447675</xdr:colOff>
      <xdr:row>25</xdr:row>
      <xdr:rowOff>251460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3AF0F4E7-0325-4F22-BA24-3C27C88FB03A}"/>
            </a:ext>
          </a:extLst>
        </xdr:cNvPr>
        <xdr:cNvSpPr txBox="1"/>
      </xdr:nvSpPr>
      <xdr:spPr>
        <a:xfrm>
          <a:off x="1577340" y="6339840"/>
          <a:ext cx="3832860" cy="922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731519</xdr:colOff>
      <xdr:row>26</xdr:row>
      <xdr:rowOff>220980</xdr:rowOff>
    </xdr:from>
    <xdr:to>
      <xdr:col>5</xdr:col>
      <xdr:colOff>114299</xdr:colOff>
      <xdr:row>30</xdr:row>
      <xdr:rowOff>30480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DCCCF073-C117-4F06-8D0D-C2873396FD57}"/>
            </a:ext>
          </a:extLst>
        </xdr:cNvPr>
        <xdr:cNvSpPr txBox="1"/>
      </xdr:nvSpPr>
      <xdr:spPr>
        <a:xfrm>
          <a:off x="1531619" y="7536180"/>
          <a:ext cx="354520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หัวหน้าเจ้าหน้าที่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771526</xdr:colOff>
      <xdr:row>31</xdr:row>
      <xdr:rowOff>15240</xdr:rowOff>
    </xdr:from>
    <xdr:to>
      <xdr:col>5</xdr:col>
      <xdr:colOff>552451</xdr:colOff>
      <xdr:row>35</xdr:row>
      <xdr:rowOff>38100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139C6D1E-6C37-49F6-AABD-3BB1A408DC63}"/>
            </a:ext>
          </a:extLst>
        </xdr:cNvPr>
        <xdr:cNvSpPr txBox="1">
          <a:spLocks noChangeArrowheads="1"/>
        </xdr:cNvSpPr>
      </xdr:nvSpPr>
      <xdr:spPr bwMode="auto">
        <a:xfrm>
          <a:off x="771526" y="8854440"/>
          <a:ext cx="4743450" cy="12420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731519</xdr:colOff>
      <xdr:row>25</xdr:row>
      <xdr:rowOff>220980</xdr:rowOff>
    </xdr:from>
    <xdr:to>
      <xdr:col>5</xdr:col>
      <xdr:colOff>114299</xdr:colOff>
      <xdr:row>29</xdr:row>
      <xdr:rowOff>30480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7EBAE52E-E371-4DF2-A311-C0F5DC364756}"/>
            </a:ext>
          </a:extLst>
        </xdr:cNvPr>
        <xdr:cNvSpPr txBox="1"/>
      </xdr:nvSpPr>
      <xdr:spPr>
        <a:xfrm>
          <a:off x="1645919" y="7155180"/>
          <a:ext cx="4145280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หัวหน้าเจ้าหน้าที่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285751</xdr:colOff>
      <xdr:row>30</xdr:row>
      <xdr:rowOff>110490</xdr:rowOff>
    </xdr:from>
    <xdr:to>
      <xdr:col>5</xdr:col>
      <xdr:colOff>171451</xdr:colOff>
      <xdr:row>34</xdr:row>
      <xdr:rowOff>133350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40A71BF7-7571-427B-BBE4-FA78C1892360}"/>
            </a:ext>
          </a:extLst>
        </xdr:cNvPr>
        <xdr:cNvSpPr txBox="1">
          <a:spLocks noChangeArrowheads="1"/>
        </xdr:cNvSpPr>
      </xdr:nvSpPr>
      <xdr:spPr bwMode="auto">
        <a:xfrm>
          <a:off x="285751" y="8378190"/>
          <a:ext cx="5229225" cy="10896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  <xdr:twoCellAnchor>
    <xdr:from>
      <xdr:col>1</xdr:col>
      <xdr:colOff>731519</xdr:colOff>
      <xdr:row>62</xdr:row>
      <xdr:rowOff>220980</xdr:rowOff>
    </xdr:from>
    <xdr:to>
      <xdr:col>5</xdr:col>
      <xdr:colOff>114299</xdr:colOff>
      <xdr:row>66</xdr:row>
      <xdr:rowOff>30480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A3D3B8AE-4733-433E-B81B-AEE8973A106A}"/>
            </a:ext>
          </a:extLst>
        </xdr:cNvPr>
        <xdr:cNvSpPr txBox="1"/>
      </xdr:nvSpPr>
      <xdr:spPr>
        <a:xfrm>
          <a:off x="1398269" y="7155180"/>
          <a:ext cx="4059555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หัวหน้าเจ้าหน้าที่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276226</xdr:colOff>
      <xdr:row>67</xdr:row>
      <xdr:rowOff>177165</xdr:rowOff>
    </xdr:from>
    <xdr:to>
      <xdr:col>5</xdr:col>
      <xdr:colOff>161926</xdr:colOff>
      <xdr:row>71</xdr:row>
      <xdr:rowOff>200025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DBC6C191-E7E8-4713-BCEF-994F07F5947E}"/>
            </a:ext>
          </a:extLst>
        </xdr:cNvPr>
        <xdr:cNvSpPr txBox="1">
          <a:spLocks noChangeArrowheads="1"/>
        </xdr:cNvSpPr>
      </xdr:nvSpPr>
      <xdr:spPr bwMode="auto">
        <a:xfrm>
          <a:off x="276226" y="18312765"/>
          <a:ext cx="5229225" cy="10896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  <xdr:twoCellAnchor>
    <xdr:from>
      <xdr:col>1</xdr:col>
      <xdr:colOff>777240</xdr:colOff>
      <xdr:row>88</xdr:row>
      <xdr:rowOff>243840</xdr:rowOff>
    </xdr:from>
    <xdr:to>
      <xdr:col>5</xdr:col>
      <xdr:colOff>447675</xdr:colOff>
      <xdr:row>91</xdr:row>
      <xdr:rowOff>251460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278A828A-F833-408A-92AA-4FCC1BB54BF8}"/>
            </a:ext>
          </a:extLst>
        </xdr:cNvPr>
        <xdr:cNvSpPr txBox="1"/>
      </xdr:nvSpPr>
      <xdr:spPr>
        <a:xfrm>
          <a:off x="1443990" y="15979140"/>
          <a:ext cx="4347210" cy="807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(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นางสาวเจนจิรา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731519</xdr:colOff>
      <xdr:row>92</xdr:row>
      <xdr:rowOff>220980</xdr:rowOff>
    </xdr:from>
    <xdr:to>
      <xdr:col>5</xdr:col>
      <xdr:colOff>114299</xdr:colOff>
      <xdr:row>96</xdr:row>
      <xdr:rowOff>30480</xdr:rowOff>
    </xdr:to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28601087-0091-4098-8E89-A3FE507F4AEF}"/>
            </a:ext>
          </a:extLst>
        </xdr:cNvPr>
        <xdr:cNvSpPr txBox="1"/>
      </xdr:nvSpPr>
      <xdr:spPr>
        <a:xfrm>
          <a:off x="1398269" y="17023080"/>
          <a:ext cx="4059555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หัวหน้าเจ้าหน้าที่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276226</xdr:colOff>
      <xdr:row>97</xdr:row>
      <xdr:rowOff>53340</xdr:rowOff>
    </xdr:from>
    <xdr:to>
      <xdr:col>5</xdr:col>
      <xdr:colOff>161926</xdr:colOff>
      <xdr:row>101</xdr:row>
      <xdr:rowOff>76200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4322A909-D245-4B23-8CC9-B5DB4F7E1FA0}"/>
            </a:ext>
          </a:extLst>
        </xdr:cNvPr>
        <xdr:cNvSpPr txBox="1">
          <a:spLocks noChangeArrowheads="1"/>
        </xdr:cNvSpPr>
      </xdr:nvSpPr>
      <xdr:spPr bwMode="auto">
        <a:xfrm>
          <a:off x="276226" y="26189940"/>
          <a:ext cx="5229225" cy="10896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  <xdr:twoCellAnchor>
    <xdr:from>
      <xdr:col>1</xdr:col>
      <xdr:colOff>777240</xdr:colOff>
      <xdr:row>21</xdr:row>
      <xdr:rowOff>262890</xdr:rowOff>
    </xdr:from>
    <xdr:to>
      <xdr:col>5</xdr:col>
      <xdr:colOff>447675</xdr:colOff>
      <xdr:row>25</xdr:row>
      <xdr:rowOff>3810</xdr:rowOff>
    </xdr:to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CDA2A348-8244-495C-94F1-C473F40628E9}"/>
            </a:ext>
          </a:extLst>
        </xdr:cNvPr>
        <xdr:cNvSpPr txBox="1"/>
      </xdr:nvSpPr>
      <xdr:spPr>
        <a:xfrm>
          <a:off x="1443990" y="6130290"/>
          <a:ext cx="4347210" cy="807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(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นางสาวเจนจิรา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762000</xdr:colOff>
      <xdr:row>59</xdr:row>
      <xdr:rowOff>38100</xdr:rowOff>
    </xdr:from>
    <xdr:to>
      <xdr:col>5</xdr:col>
      <xdr:colOff>432435</xdr:colOff>
      <xdr:row>62</xdr:row>
      <xdr:rowOff>45720</xdr:rowOff>
    </xdr:to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DF40C5E2-CD96-4F88-9E32-B4813C39F8FA}"/>
            </a:ext>
          </a:extLst>
        </xdr:cNvPr>
        <xdr:cNvSpPr txBox="1"/>
      </xdr:nvSpPr>
      <xdr:spPr>
        <a:xfrm>
          <a:off x="1428750" y="16040100"/>
          <a:ext cx="4347210" cy="807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(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นางสาวเจนจิรา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1150620</xdr:colOff>
      <xdr:row>20</xdr:row>
      <xdr:rowOff>114300</xdr:rowOff>
    </xdr:from>
    <xdr:to>
      <xdr:col>5</xdr:col>
      <xdr:colOff>581025</xdr:colOff>
      <xdr:row>23</xdr:row>
      <xdr:rowOff>175260</xdr:rowOff>
    </xdr:to>
    <xdr:sp macro="" textlink="">
      <xdr:nvSpPr>
        <xdr:cNvPr id="60" name="กล่องข้อความ 1">
          <a:extLst>
            <a:ext uri="{FF2B5EF4-FFF2-40B4-BE49-F238E27FC236}">
              <a16:creationId xmlns:a16="http://schemas.microsoft.com/office/drawing/2014/main" id="{DD1648C1-B7CB-4318-9F98-04A6D22BA78E}"/>
            </a:ext>
          </a:extLst>
        </xdr:cNvPr>
        <xdr:cNvSpPr txBox="1"/>
      </xdr:nvSpPr>
      <xdr:spPr>
        <a:xfrm>
          <a:off x="1684020" y="6210300"/>
          <a:ext cx="3573780" cy="975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1104900</xdr:colOff>
      <xdr:row>24</xdr:row>
      <xdr:rowOff>15240</xdr:rowOff>
    </xdr:from>
    <xdr:to>
      <xdr:col>4</xdr:col>
      <xdr:colOff>487680</xdr:colOff>
      <xdr:row>27</xdr:row>
      <xdr:rowOff>91440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2B9B3FE6-8F8F-4F79-B187-7E718C79670E}"/>
            </a:ext>
          </a:extLst>
        </xdr:cNvPr>
        <xdr:cNvSpPr txBox="1"/>
      </xdr:nvSpPr>
      <xdr:spPr>
        <a:xfrm>
          <a:off x="1714500" y="6416040"/>
          <a:ext cx="3604260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หัวหน้าเจ้าหน้าที่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704850</xdr:colOff>
      <xdr:row>27</xdr:row>
      <xdr:rowOff>104775</xdr:rowOff>
    </xdr:from>
    <xdr:to>
      <xdr:col>5</xdr:col>
      <xdr:colOff>228600</xdr:colOff>
      <xdr:row>31</xdr:row>
      <xdr:rowOff>209550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5C7C048-57DD-4BEA-81A8-B0D4ED598B4C}"/>
            </a:ext>
          </a:extLst>
        </xdr:cNvPr>
        <xdr:cNvSpPr txBox="1">
          <a:spLocks noChangeArrowheads="1"/>
        </xdr:cNvSpPr>
      </xdr:nvSpPr>
      <xdr:spPr bwMode="auto">
        <a:xfrm>
          <a:off x="1238250" y="8334375"/>
          <a:ext cx="3629025" cy="1323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  <xdr:twoCellAnchor>
    <xdr:from>
      <xdr:col>1</xdr:col>
      <xdr:colOff>1363980</xdr:colOff>
      <xdr:row>46</xdr:row>
      <xdr:rowOff>251460</xdr:rowOff>
    </xdr:from>
    <xdr:to>
      <xdr:col>5</xdr:col>
      <xdr:colOff>523875</xdr:colOff>
      <xdr:row>50</xdr:row>
      <xdr:rowOff>106680</xdr:rowOff>
    </xdr:to>
    <xdr:sp macro="" textlink="">
      <xdr:nvSpPr>
        <xdr:cNvPr id="100" name="กล่องข้อความ 4">
          <a:extLst>
            <a:ext uri="{FF2B5EF4-FFF2-40B4-BE49-F238E27FC236}">
              <a16:creationId xmlns:a16="http://schemas.microsoft.com/office/drawing/2014/main" id="{D97A9B91-B298-44C4-8B51-C1C4E89059C1}"/>
            </a:ext>
          </a:extLst>
        </xdr:cNvPr>
        <xdr:cNvSpPr txBox="1"/>
      </xdr:nvSpPr>
      <xdr:spPr>
        <a:xfrm>
          <a:off x="1897380" y="13967460"/>
          <a:ext cx="3188970" cy="1074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1363980</xdr:colOff>
      <xdr:row>51</xdr:row>
      <xdr:rowOff>76200</xdr:rowOff>
    </xdr:from>
    <xdr:to>
      <xdr:col>4</xdr:col>
      <xdr:colOff>746760</xdr:colOff>
      <xdr:row>54</xdr:row>
      <xdr:rowOff>152400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8A93B15E-EB78-4ADE-93C7-34F1F82AAD8C}"/>
            </a:ext>
          </a:extLst>
        </xdr:cNvPr>
        <xdr:cNvSpPr txBox="1"/>
      </xdr:nvSpPr>
      <xdr:spPr>
        <a:xfrm>
          <a:off x="1973580" y="13411200"/>
          <a:ext cx="3154680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</a:p>
        <a:p>
          <a:pPr algn="ctr"/>
          <a:r>
            <a:rPr lang="en-US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1152525</xdr:colOff>
      <xdr:row>56</xdr:row>
      <xdr:rowOff>97155</xdr:rowOff>
    </xdr:from>
    <xdr:to>
      <xdr:col>5</xdr:col>
      <xdr:colOff>304800</xdr:colOff>
      <xdr:row>60</xdr:row>
      <xdr:rowOff>200025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A58DD973-272D-4515-A0C7-397925BBEEFA}"/>
            </a:ext>
          </a:extLst>
        </xdr:cNvPr>
        <xdr:cNvSpPr txBox="1">
          <a:spLocks noChangeArrowheads="1"/>
        </xdr:cNvSpPr>
      </xdr:nvSpPr>
      <xdr:spPr bwMode="auto">
        <a:xfrm>
          <a:off x="1685925" y="16556355"/>
          <a:ext cx="3295650" cy="132207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  <xdr:twoCellAnchor>
    <xdr:from>
      <xdr:col>1</xdr:col>
      <xdr:colOff>990600</xdr:colOff>
      <xdr:row>82</xdr:row>
      <xdr:rowOff>57150</xdr:rowOff>
    </xdr:from>
    <xdr:to>
      <xdr:col>4</xdr:col>
      <xdr:colOff>609600</xdr:colOff>
      <xdr:row>93</xdr:row>
      <xdr:rowOff>15240</xdr:rowOff>
    </xdr:to>
    <xdr:sp macro="" textlink="">
      <xdr:nvSpPr>
        <xdr:cNvPr id="11" name="กล่องข้อความ 2">
          <a:extLst>
            <a:ext uri="{FF2B5EF4-FFF2-40B4-BE49-F238E27FC236}">
              <a16:creationId xmlns:a16="http://schemas.microsoft.com/office/drawing/2014/main" id="{E3102071-CE53-4D60-A043-B48CDB887B69}"/>
            </a:ext>
          </a:extLst>
        </xdr:cNvPr>
        <xdr:cNvSpPr txBox="1"/>
      </xdr:nvSpPr>
      <xdr:spPr>
        <a:xfrm>
          <a:off x="1600200" y="23526750"/>
          <a:ext cx="3533775" cy="2891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เจ้าหน้าที่</a:t>
          </a:r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60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(ลงชื่อ)...............................................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(นางทิพวรรณ  ชมภูพาน)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           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หัวหน้าเจ้าหน้าที่</a:t>
          </a:r>
        </a:p>
        <a:p>
          <a:pPr algn="l"/>
          <a:endParaRPr lang="th-TH" sz="1600" baseline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(ลงชื่อ)..............................................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	(นางณัฐสินี  หลักวิโรจน์)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        นายกองค์การบริหารส่วนจังหวัดสระบุรี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1236345</xdr:colOff>
      <xdr:row>16</xdr:row>
      <xdr:rowOff>257175</xdr:rowOff>
    </xdr:from>
    <xdr:to>
      <xdr:col>5</xdr:col>
      <xdr:colOff>85725</xdr:colOff>
      <xdr:row>22</xdr:row>
      <xdr:rowOff>89535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3421A4F-68D3-4E3C-94A1-3696B91EAAF0}"/>
            </a:ext>
          </a:extLst>
        </xdr:cNvPr>
        <xdr:cNvSpPr txBox="1"/>
      </xdr:nvSpPr>
      <xdr:spPr>
        <a:xfrm>
          <a:off x="1636395" y="4524375"/>
          <a:ext cx="3840480" cy="1432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(นางสาวเจนจิรา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ตุนานันท์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1242060</xdr:colOff>
      <xdr:row>21</xdr:row>
      <xdr:rowOff>55245</xdr:rowOff>
    </xdr:from>
    <xdr:to>
      <xdr:col>5</xdr:col>
      <xdr:colOff>619125</xdr:colOff>
      <xdr:row>24</xdr:row>
      <xdr:rowOff>131445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9746D61C-326E-469B-A2FB-09E0EC3E3ECE}"/>
            </a:ext>
          </a:extLst>
        </xdr:cNvPr>
        <xdr:cNvSpPr txBox="1"/>
      </xdr:nvSpPr>
      <xdr:spPr>
        <a:xfrm>
          <a:off x="1642110" y="5655945"/>
          <a:ext cx="4368165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(ลงชื่อ)...............................................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(นางทิพวรรณ  ชมภูพาน)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หัวหน้าเจ้าหน้าที่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238125</xdr:colOff>
      <xdr:row>25</xdr:row>
      <xdr:rowOff>55245</xdr:rowOff>
    </xdr:from>
    <xdr:to>
      <xdr:col>5</xdr:col>
      <xdr:colOff>85725</xdr:colOff>
      <xdr:row>29</xdr:row>
      <xdr:rowOff>78105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65FB266-CC80-4318-BC4D-77AD2E21486E}"/>
            </a:ext>
          </a:extLst>
        </xdr:cNvPr>
        <xdr:cNvSpPr txBox="1">
          <a:spLocks noChangeArrowheads="1"/>
        </xdr:cNvSpPr>
      </xdr:nvSpPr>
      <xdr:spPr bwMode="auto">
        <a:xfrm>
          <a:off x="638175" y="8056245"/>
          <a:ext cx="4838700" cy="10896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(ลงชื่อ)...........................................</a:t>
          </a:r>
          <a:endParaRPr lang="en-US" sz="1600">
            <a:effectLst/>
            <a:latin typeface="Times New Roman" panose="02020603050405020304" pitchFamily="18" charset="0"/>
            <a:ea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(นางณัฐสินี  หลักวิโรจน์)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ผู้อำนวยการสถานศึกษา ปฏิบัติราชการแทน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 algn="ctr"/>
          <a:r>
            <a:rPr lang="en-US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   </a:t>
          </a:r>
          <a:r>
            <a:rPr lang="th-TH" sz="1600">
              <a:effectLst/>
              <a:latin typeface="Times New Roman" panose="02020603050405020304" pitchFamily="18" charset="0"/>
              <a:ea typeface="TH SarabunPSK" panose="020B0500040200020003" pitchFamily="34" charset="-34"/>
              <a:cs typeface="TH SarabunPSK" panose="020B0500040200020003" pitchFamily="34" charset="-34"/>
            </a:rPr>
            <a:t>นายกองค์การบริหารส่วนจังหวัดสระบุรี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pPr>
            <a:tabLst>
              <a:tab pos="844550" algn="l"/>
            </a:tabLst>
          </a:pPr>
          <a:r>
            <a:rPr lang="en-US" sz="1600">
              <a:effectLst/>
              <a:latin typeface="TH SarabunPSK" panose="020B0500040200020003" pitchFamily="34" charset="-34"/>
              <a:ea typeface="TH SarabunPSK" panose="020B0500040200020003" pitchFamily="34" charset="-34"/>
              <a:cs typeface="Angsana New" panose="02020603050405020304" pitchFamily="18" charset="-34"/>
            </a:rPr>
            <a:t> 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  <a:cs typeface="Angsana New" panose="02020603050405020304" pitchFamily="18" charset="-34"/>
          </a:endParaRPr>
        </a:p>
        <a:p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Angsana New" panose="02020603050405020304" pitchFamily="18" charset="-34"/>
            </a:rPr>
            <a:t> 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47625</xdr:rowOff>
    </xdr:from>
    <xdr:to>
      <xdr:col>2</xdr:col>
      <xdr:colOff>1400175</xdr:colOff>
      <xdr:row>20</xdr:row>
      <xdr:rowOff>123825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657011C9-5E63-46FE-9ECF-1662BE056462}"/>
            </a:ext>
          </a:extLst>
        </xdr:cNvPr>
        <xdr:cNvSpPr txBox="1"/>
      </xdr:nvSpPr>
      <xdr:spPr>
        <a:xfrm>
          <a:off x="0" y="4581525"/>
          <a:ext cx="2305050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       (ลงชื่อ)..................................ผู้จัดทำ</a:t>
          </a:r>
        </a:p>
        <a:p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           (นางสาวเจนจิรา ตุนานันท์)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1095374</xdr:colOff>
      <xdr:row>18</xdr:row>
      <xdr:rowOff>9525</xdr:rowOff>
    </xdr:from>
    <xdr:to>
      <xdr:col>4</xdr:col>
      <xdr:colOff>847725</xdr:colOff>
      <xdr:row>21</xdr:row>
      <xdr:rowOff>85724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2C560938-7823-4039-B66D-1EA7A97368ED}"/>
            </a:ext>
          </a:extLst>
        </xdr:cNvPr>
        <xdr:cNvSpPr txBox="1"/>
      </xdr:nvSpPr>
      <xdr:spPr>
        <a:xfrm>
          <a:off x="2133599" y="4476750"/>
          <a:ext cx="3676651" cy="8762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 (ลงชื่อ)...............</a:t>
          </a:r>
          <a:r>
            <a:rPr lang="en-US" sz="1400">
              <a:latin typeface="TH SarabunIT๙" panose="020B0500040200020003" pitchFamily="34" charset="-34"/>
              <a:cs typeface="TH SarabunIT๙" panose="020B0500040200020003" pitchFamily="34" charset="-34"/>
            </a:rPr>
            <a:t>........</a:t>
          </a:r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........................หัวหน้าหน่วยงานผู้เบิก </a:t>
          </a:r>
        </a:p>
        <a:p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             (นางณัฐสินี  หลักวิโรจน์)</a:t>
          </a:r>
        </a:p>
        <a:p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  </a:t>
          </a:r>
          <a:r>
            <a:rPr lang="th-TH" sz="1400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ผู้อำนวยการสถานศึกษา โรงเรียนหรเทพ(รุ่งเรืองประชาสามัคคี)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F34B-5501-499C-9869-2912100F6190}">
  <dimension ref="A1:L212"/>
  <sheetViews>
    <sheetView workbookViewId="0">
      <selection activeCell="H118" sqref="H118"/>
    </sheetView>
  </sheetViews>
  <sheetFormatPr defaultColWidth="9.140625" defaultRowHeight="24"/>
  <cols>
    <col min="1" max="1" width="4.5703125" style="1" customWidth="1"/>
    <col min="2" max="2" width="37.42578125" style="1" customWidth="1"/>
    <col min="3" max="4" width="7.85546875" style="1" customWidth="1"/>
    <col min="5" max="5" width="10" style="1" customWidth="1"/>
    <col min="6" max="6" width="12.42578125" style="1" customWidth="1"/>
    <col min="7" max="7" width="9.140625" style="1"/>
    <col min="8" max="8" width="11.28515625" style="1" customWidth="1"/>
    <col min="9" max="16384" width="9.140625" style="1"/>
  </cols>
  <sheetData>
    <row r="1" spans="1:12">
      <c r="A1" s="102" t="s">
        <v>121</v>
      </c>
      <c r="B1" s="102"/>
      <c r="C1" s="102"/>
      <c r="D1" s="102"/>
      <c r="E1" s="102"/>
      <c r="F1" s="102"/>
    </row>
    <row r="2" spans="1:12">
      <c r="A2" s="102" t="s">
        <v>122</v>
      </c>
      <c r="B2" s="102"/>
      <c r="C2" s="102"/>
      <c r="D2" s="102"/>
      <c r="E2" s="102"/>
      <c r="F2" s="102"/>
    </row>
    <row r="3" spans="1:12">
      <c r="A3" s="102" t="s">
        <v>123</v>
      </c>
      <c r="B3" s="102"/>
      <c r="C3" s="102"/>
      <c r="D3" s="102"/>
      <c r="E3" s="102"/>
      <c r="F3" s="102"/>
    </row>
    <row r="4" spans="1:12">
      <c r="A4" s="102"/>
      <c r="B4" s="102"/>
      <c r="C4" s="102"/>
      <c r="D4" s="102"/>
      <c r="E4" s="102"/>
      <c r="F4" s="102"/>
    </row>
    <row r="5" spans="1:12">
      <c r="A5" s="103" t="s">
        <v>1</v>
      </c>
      <c r="B5" s="103" t="s">
        <v>2</v>
      </c>
      <c r="C5" s="103" t="s">
        <v>3</v>
      </c>
      <c r="D5" s="103" t="s">
        <v>4</v>
      </c>
      <c r="E5" s="106" t="s">
        <v>5</v>
      </c>
      <c r="F5" s="105" t="s">
        <v>6</v>
      </c>
    </row>
    <row r="6" spans="1:12">
      <c r="A6" s="104"/>
      <c r="B6" s="104"/>
      <c r="C6" s="104"/>
      <c r="D6" s="104"/>
      <c r="E6" s="107"/>
      <c r="F6" s="105"/>
    </row>
    <row r="7" spans="1:12">
      <c r="A7" s="4"/>
      <c r="B7" s="21" t="s">
        <v>7</v>
      </c>
      <c r="C7" s="4"/>
      <c r="D7" s="4"/>
      <c r="E7" s="10"/>
      <c r="F7" s="20"/>
    </row>
    <row r="8" spans="1:12">
      <c r="A8" s="2">
        <v>1</v>
      </c>
      <c r="B8" s="3" t="s">
        <v>8</v>
      </c>
      <c r="C8" s="11">
        <v>147</v>
      </c>
      <c r="D8" s="5" t="s">
        <v>9</v>
      </c>
      <c r="E8" s="9">
        <v>130</v>
      </c>
      <c r="F8" s="7">
        <f t="shared" ref="F8:F22" si="0">C8*E8</f>
        <v>19110</v>
      </c>
    </row>
    <row r="9" spans="1:12">
      <c r="A9" s="2">
        <v>2</v>
      </c>
      <c r="B9" s="3" t="s">
        <v>10</v>
      </c>
      <c r="C9" s="11">
        <v>3</v>
      </c>
      <c r="D9" s="5" t="s">
        <v>11</v>
      </c>
      <c r="E9" s="9">
        <v>400</v>
      </c>
      <c r="F9" s="7">
        <f t="shared" si="0"/>
        <v>1200</v>
      </c>
      <c r="L9" s="1" t="s">
        <v>118</v>
      </c>
    </row>
    <row r="10" spans="1:12" s="24" customFormat="1">
      <c r="A10" s="2">
        <v>3</v>
      </c>
      <c r="B10" s="3" t="s">
        <v>14</v>
      </c>
      <c r="C10" s="11">
        <v>2</v>
      </c>
      <c r="D10" s="26" t="s">
        <v>13</v>
      </c>
      <c r="E10" s="9">
        <v>65</v>
      </c>
      <c r="F10" s="7">
        <f t="shared" si="0"/>
        <v>130</v>
      </c>
    </row>
    <row r="11" spans="1:12" s="24" customFormat="1">
      <c r="A11" s="2">
        <v>4</v>
      </c>
      <c r="B11" s="3" t="s">
        <v>14</v>
      </c>
      <c r="C11" s="11">
        <v>12</v>
      </c>
      <c r="D11" s="5" t="s">
        <v>13</v>
      </c>
      <c r="E11" s="9">
        <v>75</v>
      </c>
      <c r="F11" s="7">
        <f t="shared" si="0"/>
        <v>900</v>
      </c>
    </row>
    <row r="12" spans="1:12" ht="20.25" customHeight="1">
      <c r="A12" s="2">
        <v>5</v>
      </c>
      <c r="B12" s="3" t="s">
        <v>15</v>
      </c>
      <c r="C12" s="11">
        <v>3</v>
      </c>
      <c r="D12" s="5" t="s">
        <v>16</v>
      </c>
      <c r="E12" s="9">
        <v>5</v>
      </c>
      <c r="F12" s="7">
        <f t="shared" si="0"/>
        <v>15</v>
      </c>
    </row>
    <row r="13" spans="1:12">
      <c r="A13" s="2">
        <v>6</v>
      </c>
      <c r="B13" s="3" t="s">
        <v>17</v>
      </c>
      <c r="C13" s="11">
        <v>10</v>
      </c>
      <c r="D13" s="5" t="s">
        <v>18</v>
      </c>
      <c r="E13" s="9">
        <v>20</v>
      </c>
      <c r="F13" s="7">
        <f t="shared" si="0"/>
        <v>200</v>
      </c>
    </row>
    <row r="14" spans="1:12">
      <c r="A14" s="2">
        <v>7</v>
      </c>
      <c r="B14" s="3" t="s">
        <v>19</v>
      </c>
      <c r="C14" s="11">
        <v>2</v>
      </c>
      <c r="D14" s="5" t="s">
        <v>12</v>
      </c>
      <c r="E14" s="9">
        <v>35</v>
      </c>
      <c r="F14" s="7">
        <f t="shared" si="0"/>
        <v>70</v>
      </c>
    </row>
    <row r="15" spans="1:12">
      <c r="A15" s="2">
        <v>8</v>
      </c>
      <c r="B15" s="3" t="s">
        <v>124</v>
      </c>
      <c r="C15" s="13">
        <v>3</v>
      </c>
      <c r="D15" s="5" t="s">
        <v>13</v>
      </c>
      <c r="E15" s="9">
        <v>150</v>
      </c>
      <c r="F15" s="7">
        <f t="shared" si="0"/>
        <v>450</v>
      </c>
    </row>
    <row r="16" spans="1:12">
      <c r="A16" s="2">
        <v>9</v>
      </c>
      <c r="B16" s="3" t="s">
        <v>21</v>
      </c>
      <c r="C16" s="12">
        <v>5</v>
      </c>
      <c r="D16" s="8" t="s">
        <v>11</v>
      </c>
      <c r="E16" s="9">
        <v>220</v>
      </c>
      <c r="F16" s="7">
        <f t="shared" si="0"/>
        <v>1100</v>
      </c>
    </row>
    <row r="17" spans="1:6">
      <c r="A17" s="2">
        <v>10</v>
      </c>
      <c r="B17" s="3" t="s">
        <v>22</v>
      </c>
      <c r="C17" s="12">
        <v>6</v>
      </c>
      <c r="D17" s="8" t="s">
        <v>11</v>
      </c>
      <c r="E17" s="9">
        <v>150</v>
      </c>
      <c r="F17" s="7">
        <f t="shared" si="0"/>
        <v>900</v>
      </c>
    </row>
    <row r="18" spans="1:6">
      <c r="A18" s="2">
        <v>11</v>
      </c>
      <c r="B18" s="3" t="s">
        <v>25</v>
      </c>
      <c r="C18" s="11">
        <v>15</v>
      </c>
      <c r="D18" s="5" t="s">
        <v>11</v>
      </c>
      <c r="E18" s="9">
        <v>220</v>
      </c>
      <c r="F18" s="7">
        <f t="shared" si="0"/>
        <v>3300</v>
      </c>
    </row>
    <row r="19" spans="1:6">
      <c r="A19" s="2">
        <v>12</v>
      </c>
      <c r="B19" s="3" t="s">
        <v>26</v>
      </c>
      <c r="C19" s="11">
        <v>15</v>
      </c>
      <c r="D19" s="5" t="s">
        <v>11</v>
      </c>
      <c r="E19" s="9">
        <v>180</v>
      </c>
      <c r="F19" s="7">
        <f t="shared" si="0"/>
        <v>2700</v>
      </c>
    </row>
    <row r="20" spans="1:6">
      <c r="A20" s="2">
        <v>13</v>
      </c>
      <c r="B20" s="3" t="s">
        <v>125</v>
      </c>
      <c r="C20" s="11">
        <v>12</v>
      </c>
      <c r="D20" s="5" t="s">
        <v>11</v>
      </c>
      <c r="E20" s="9">
        <v>25</v>
      </c>
      <c r="F20" s="7">
        <f t="shared" si="0"/>
        <v>300</v>
      </c>
    </row>
    <row r="21" spans="1:6">
      <c r="A21" s="2">
        <v>14</v>
      </c>
      <c r="B21" s="3" t="s">
        <v>27</v>
      </c>
      <c r="C21" s="11">
        <v>64</v>
      </c>
      <c r="D21" s="5" t="s">
        <v>20</v>
      </c>
      <c r="E21" s="9">
        <v>15</v>
      </c>
      <c r="F21" s="7">
        <f t="shared" si="0"/>
        <v>960</v>
      </c>
    </row>
    <row r="22" spans="1:6">
      <c r="A22" s="2">
        <v>15</v>
      </c>
      <c r="B22" s="3" t="s">
        <v>28</v>
      </c>
      <c r="C22" s="11">
        <v>1</v>
      </c>
      <c r="D22" s="5" t="s">
        <v>20</v>
      </c>
      <c r="E22" s="9">
        <v>35</v>
      </c>
      <c r="F22" s="7">
        <f t="shared" si="0"/>
        <v>35</v>
      </c>
    </row>
    <row r="23" spans="1:6">
      <c r="A23" s="2"/>
      <c r="B23" s="3"/>
      <c r="C23" s="12"/>
      <c r="D23" s="8"/>
      <c r="E23" s="9"/>
      <c r="F23" s="7">
        <f t="shared" ref="F23" si="1">C23*E23</f>
        <v>0</v>
      </c>
    </row>
    <row r="24" spans="1:6">
      <c r="A24" s="101" t="s">
        <v>23</v>
      </c>
      <c r="B24" s="101"/>
      <c r="C24" s="101"/>
      <c r="D24" s="7">
        <f>SUM(D8:D18)</f>
        <v>0</v>
      </c>
      <c r="E24" s="3"/>
      <c r="F24" s="7">
        <f>SUM(F8:F23)</f>
        <v>31370</v>
      </c>
    </row>
    <row r="25" spans="1:6">
      <c r="A25" s="25"/>
      <c r="B25" s="25"/>
      <c r="C25" s="25"/>
      <c r="D25" s="27"/>
      <c r="F25" s="27"/>
    </row>
    <row r="26" spans="1:6">
      <c r="A26" s="25"/>
      <c r="B26" s="25"/>
      <c r="C26" s="25"/>
      <c r="D26" s="27"/>
      <c r="F26" s="27"/>
    </row>
    <row r="39" spans="1:6">
      <c r="A39" s="103" t="s">
        <v>1</v>
      </c>
      <c r="B39" s="103" t="s">
        <v>2</v>
      </c>
      <c r="C39" s="103" t="s">
        <v>3</v>
      </c>
      <c r="D39" s="103" t="s">
        <v>4</v>
      </c>
      <c r="E39" s="106" t="s">
        <v>5</v>
      </c>
      <c r="F39" s="105" t="s">
        <v>6</v>
      </c>
    </row>
    <row r="40" spans="1:6">
      <c r="A40" s="104"/>
      <c r="B40" s="104"/>
      <c r="C40" s="104"/>
      <c r="D40" s="104"/>
      <c r="E40" s="107"/>
      <c r="F40" s="105"/>
    </row>
    <row r="41" spans="1:6">
      <c r="A41" s="2"/>
      <c r="B41" s="14" t="s">
        <v>24</v>
      </c>
      <c r="C41" s="11"/>
      <c r="D41" s="5"/>
      <c r="E41" s="9"/>
      <c r="F41" s="7">
        <f>F24</f>
        <v>31370</v>
      </c>
    </row>
    <row r="42" spans="1:6">
      <c r="A42" s="2">
        <v>16</v>
      </c>
      <c r="B42" s="3" t="s">
        <v>30</v>
      </c>
      <c r="C42" s="11">
        <v>16</v>
      </c>
      <c r="D42" s="5" t="s">
        <v>20</v>
      </c>
      <c r="E42" s="9">
        <v>23</v>
      </c>
      <c r="F42" s="7">
        <f t="shared" ref="F42:F56" si="2">C42*E42</f>
        <v>368</v>
      </c>
    </row>
    <row r="43" spans="1:6">
      <c r="A43" s="2">
        <v>17</v>
      </c>
      <c r="B43" s="3" t="s">
        <v>31</v>
      </c>
      <c r="C43" s="11">
        <v>14</v>
      </c>
      <c r="D43" s="5" t="s">
        <v>16</v>
      </c>
      <c r="E43" s="9">
        <v>65</v>
      </c>
      <c r="F43" s="7">
        <f t="shared" si="2"/>
        <v>910</v>
      </c>
    </row>
    <row r="44" spans="1:6">
      <c r="A44" s="2">
        <v>18</v>
      </c>
      <c r="B44" s="3" t="s">
        <v>32</v>
      </c>
      <c r="C44" s="13">
        <v>18</v>
      </c>
      <c r="D44" s="5" t="s">
        <v>33</v>
      </c>
      <c r="E44" s="6">
        <v>1020</v>
      </c>
      <c r="F44" s="7">
        <f t="shared" si="2"/>
        <v>18360</v>
      </c>
    </row>
    <row r="45" spans="1:6">
      <c r="A45" s="2">
        <v>19</v>
      </c>
      <c r="B45" s="3" t="s">
        <v>34</v>
      </c>
      <c r="C45" s="12">
        <v>4</v>
      </c>
      <c r="D45" s="8" t="s">
        <v>12</v>
      </c>
      <c r="E45" s="9">
        <v>35</v>
      </c>
      <c r="F45" s="7">
        <f t="shared" si="2"/>
        <v>140</v>
      </c>
    </row>
    <row r="46" spans="1:6">
      <c r="A46" s="2">
        <v>20</v>
      </c>
      <c r="B46" s="3" t="s">
        <v>35</v>
      </c>
      <c r="C46" s="12">
        <v>11</v>
      </c>
      <c r="D46" s="8" t="s">
        <v>36</v>
      </c>
      <c r="E46" s="9">
        <v>30</v>
      </c>
      <c r="F46" s="7">
        <f t="shared" si="2"/>
        <v>330</v>
      </c>
    </row>
    <row r="47" spans="1:6">
      <c r="A47" s="2">
        <v>21</v>
      </c>
      <c r="B47" s="3" t="s">
        <v>37</v>
      </c>
      <c r="C47" s="12">
        <v>52</v>
      </c>
      <c r="D47" s="8" t="s">
        <v>38</v>
      </c>
      <c r="E47" s="9">
        <v>60</v>
      </c>
      <c r="F47" s="7">
        <f t="shared" si="2"/>
        <v>3120</v>
      </c>
    </row>
    <row r="48" spans="1:6">
      <c r="A48" s="2">
        <v>22</v>
      </c>
      <c r="B48" s="3" t="s">
        <v>39</v>
      </c>
      <c r="C48" s="12">
        <v>2</v>
      </c>
      <c r="D48" s="8" t="s">
        <v>12</v>
      </c>
      <c r="E48" s="9">
        <v>150</v>
      </c>
      <c r="F48" s="7">
        <f t="shared" si="2"/>
        <v>300</v>
      </c>
    </row>
    <row r="49" spans="1:6">
      <c r="A49" s="2">
        <v>23</v>
      </c>
      <c r="B49" s="3" t="s">
        <v>39</v>
      </c>
      <c r="C49" s="12">
        <v>5</v>
      </c>
      <c r="D49" s="8" t="s">
        <v>12</v>
      </c>
      <c r="E49" s="9">
        <v>180</v>
      </c>
      <c r="F49" s="7">
        <f t="shared" si="2"/>
        <v>900</v>
      </c>
    </row>
    <row r="50" spans="1:6">
      <c r="A50" s="2">
        <v>24</v>
      </c>
      <c r="B50" s="3" t="s">
        <v>40</v>
      </c>
      <c r="C50" s="11">
        <v>7</v>
      </c>
      <c r="D50" s="5" t="s">
        <v>16</v>
      </c>
      <c r="E50" s="9">
        <v>65</v>
      </c>
      <c r="F50" s="7">
        <f t="shared" si="2"/>
        <v>455</v>
      </c>
    </row>
    <row r="51" spans="1:6">
      <c r="A51" s="2">
        <v>25</v>
      </c>
      <c r="B51" s="3" t="s">
        <v>41</v>
      </c>
      <c r="C51" s="11">
        <v>4</v>
      </c>
      <c r="D51" s="5" t="s">
        <v>29</v>
      </c>
      <c r="E51" s="6">
        <v>6500</v>
      </c>
      <c r="F51" s="7">
        <f t="shared" si="2"/>
        <v>26000</v>
      </c>
    </row>
    <row r="52" spans="1:6">
      <c r="A52" s="2">
        <v>26</v>
      </c>
      <c r="B52" s="3" t="s">
        <v>43</v>
      </c>
      <c r="C52" s="11">
        <v>1</v>
      </c>
      <c r="D52" s="5" t="s">
        <v>38</v>
      </c>
      <c r="E52" s="9">
        <v>120</v>
      </c>
      <c r="F52" s="7">
        <f t="shared" si="2"/>
        <v>120</v>
      </c>
    </row>
    <row r="53" spans="1:6">
      <c r="A53" s="2">
        <v>27</v>
      </c>
      <c r="B53" s="3" t="s">
        <v>45</v>
      </c>
      <c r="C53" s="11">
        <v>2</v>
      </c>
      <c r="D53" s="5" t="s">
        <v>11</v>
      </c>
      <c r="E53" s="9">
        <v>130</v>
      </c>
      <c r="F53" s="7">
        <f t="shared" si="2"/>
        <v>260</v>
      </c>
    </row>
    <row r="54" spans="1:6">
      <c r="A54" s="2">
        <v>28</v>
      </c>
      <c r="B54" s="3" t="s">
        <v>46</v>
      </c>
      <c r="C54" s="11">
        <v>7</v>
      </c>
      <c r="D54" s="5" t="s">
        <v>11</v>
      </c>
      <c r="E54" s="9">
        <v>130</v>
      </c>
      <c r="F54" s="7">
        <f t="shared" si="2"/>
        <v>910</v>
      </c>
    </row>
    <row r="55" spans="1:6">
      <c r="A55" s="2">
        <v>29</v>
      </c>
      <c r="B55" s="3" t="s">
        <v>47</v>
      </c>
      <c r="C55" s="11">
        <v>3</v>
      </c>
      <c r="D55" s="5" t="s">
        <v>11</v>
      </c>
      <c r="E55" s="9">
        <v>130</v>
      </c>
      <c r="F55" s="7">
        <f t="shared" si="2"/>
        <v>390</v>
      </c>
    </row>
    <row r="56" spans="1:6">
      <c r="A56" s="2">
        <v>30</v>
      </c>
      <c r="B56" s="3" t="s">
        <v>48</v>
      </c>
      <c r="C56" s="13">
        <v>22</v>
      </c>
      <c r="D56" s="5" t="s">
        <v>11</v>
      </c>
      <c r="E56" s="6">
        <v>130</v>
      </c>
      <c r="F56" s="7">
        <f t="shared" si="2"/>
        <v>2860</v>
      </c>
    </row>
    <row r="57" spans="1:6">
      <c r="A57" s="101" t="s">
        <v>23</v>
      </c>
      <c r="B57" s="101"/>
      <c r="C57" s="101"/>
      <c r="D57" s="7">
        <f>SUM(D41:D50)</f>
        <v>0</v>
      </c>
      <c r="E57" s="3"/>
      <c r="F57" s="7">
        <f>SUM(F41:F56)</f>
        <v>86793</v>
      </c>
    </row>
    <row r="58" spans="1:6">
      <c r="A58" s="25"/>
      <c r="B58" s="25"/>
      <c r="C58" s="25"/>
      <c r="D58" s="27"/>
      <c r="F58" s="27"/>
    </row>
    <row r="68" spans="1:6">
      <c r="A68" s="108"/>
      <c r="B68" s="108"/>
      <c r="C68" s="108"/>
      <c r="D68" s="108"/>
      <c r="E68" s="108"/>
      <c r="F68" s="108"/>
    </row>
    <row r="69" spans="1:6">
      <c r="A69" s="18"/>
      <c r="B69" s="18"/>
      <c r="C69" s="18"/>
      <c r="D69" s="18"/>
      <c r="E69" s="18"/>
      <c r="F69" s="18"/>
    </row>
    <row r="70" spans="1:6">
      <c r="A70" s="18"/>
      <c r="B70" s="18"/>
      <c r="C70" s="18"/>
      <c r="D70" s="18"/>
      <c r="E70" s="18"/>
      <c r="F70" s="18"/>
    </row>
    <row r="71" spans="1:6">
      <c r="A71" s="18"/>
      <c r="B71" s="18"/>
      <c r="C71" s="18"/>
      <c r="D71" s="18"/>
      <c r="E71" s="18"/>
      <c r="F71" s="18"/>
    </row>
    <row r="72" spans="1:6">
      <c r="A72" s="18"/>
      <c r="B72" s="18"/>
      <c r="C72" s="18"/>
      <c r="D72" s="18"/>
      <c r="E72" s="18"/>
      <c r="F72" s="18"/>
    </row>
    <row r="73" spans="1:6">
      <c r="A73" s="18"/>
      <c r="B73" s="18"/>
      <c r="C73" s="18"/>
      <c r="D73" s="18"/>
      <c r="E73" s="18"/>
      <c r="F73" s="18"/>
    </row>
    <row r="75" spans="1:6">
      <c r="A75" s="103" t="s">
        <v>1</v>
      </c>
      <c r="B75" s="103" t="s">
        <v>2</v>
      </c>
      <c r="C75" s="103" t="s">
        <v>3</v>
      </c>
      <c r="D75" s="103" t="s">
        <v>4</v>
      </c>
      <c r="E75" s="106" t="s">
        <v>5</v>
      </c>
      <c r="F75" s="105" t="s">
        <v>6</v>
      </c>
    </row>
    <row r="76" spans="1:6">
      <c r="A76" s="104"/>
      <c r="B76" s="104"/>
      <c r="C76" s="104"/>
      <c r="D76" s="104"/>
      <c r="E76" s="107"/>
      <c r="F76" s="105"/>
    </row>
    <row r="77" spans="1:6">
      <c r="A77" s="2"/>
      <c r="B77" s="14" t="s">
        <v>24</v>
      </c>
      <c r="C77" s="11"/>
      <c r="D77" s="5"/>
      <c r="E77" s="9"/>
      <c r="F77" s="7">
        <f>F57</f>
        <v>86793</v>
      </c>
    </row>
    <row r="78" spans="1:6">
      <c r="A78" s="2">
        <v>31</v>
      </c>
      <c r="B78" s="3" t="s">
        <v>49</v>
      </c>
      <c r="C78" s="12">
        <v>13</v>
      </c>
      <c r="D78" s="8" t="s">
        <v>20</v>
      </c>
      <c r="E78" s="9">
        <v>250</v>
      </c>
      <c r="F78" s="7">
        <f t="shared" ref="F78:F80" si="3">C78*E78</f>
        <v>3250</v>
      </c>
    </row>
    <row r="79" spans="1:6">
      <c r="A79" s="2">
        <v>32</v>
      </c>
      <c r="B79" s="3" t="s">
        <v>50</v>
      </c>
      <c r="C79" s="12">
        <v>2</v>
      </c>
      <c r="D79" s="8" t="s">
        <v>12</v>
      </c>
      <c r="E79" s="9">
        <v>35</v>
      </c>
      <c r="F79" s="7">
        <f t="shared" si="3"/>
        <v>70</v>
      </c>
    </row>
    <row r="80" spans="1:6">
      <c r="A80" s="2">
        <v>33</v>
      </c>
      <c r="B80" s="3" t="s">
        <v>51</v>
      </c>
      <c r="C80" s="12">
        <v>3</v>
      </c>
      <c r="D80" s="8" t="s">
        <v>12</v>
      </c>
      <c r="E80" s="9">
        <v>70</v>
      </c>
      <c r="F80" s="7">
        <f t="shared" si="3"/>
        <v>210</v>
      </c>
    </row>
    <row r="81" spans="1:6" s="33" customFormat="1">
      <c r="A81" s="2">
        <v>34</v>
      </c>
      <c r="B81" s="29" t="s">
        <v>52</v>
      </c>
      <c r="C81" s="30">
        <v>6</v>
      </c>
      <c r="D81" s="26" t="s">
        <v>36</v>
      </c>
      <c r="E81" s="31">
        <v>65</v>
      </c>
      <c r="F81" s="32">
        <f t="shared" ref="F81:F92" si="4">C81*E81</f>
        <v>390</v>
      </c>
    </row>
    <row r="82" spans="1:6" s="33" customFormat="1">
      <c r="A82" s="2">
        <v>35</v>
      </c>
      <c r="B82" s="29" t="s">
        <v>53</v>
      </c>
      <c r="C82" s="30">
        <v>1</v>
      </c>
      <c r="D82" s="26" t="s">
        <v>36</v>
      </c>
      <c r="E82" s="34">
        <v>65</v>
      </c>
      <c r="F82" s="32">
        <f t="shared" si="4"/>
        <v>65</v>
      </c>
    </row>
    <row r="83" spans="1:6" s="33" customFormat="1">
      <c r="A83" s="2">
        <v>36</v>
      </c>
      <c r="B83" s="29" t="s">
        <v>54</v>
      </c>
      <c r="C83" s="30">
        <v>11</v>
      </c>
      <c r="D83" s="26" t="s">
        <v>36</v>
      </c>
      <c r="E83" s="31">
        <v>65</v>
      </c>
      <c r="F83" s="32">
        <f t="shared" si="4"/>
        <v>715</v>
      </c>
    </row>
    <row r="84" spans="1:6" s="33" customFormat="1">
      <c r="A84" s="2">
        <v>37</v>
      </c>
      <c r="B84" s="29" t="s">
        <v>55</v>
      </c>
      <c r="C84" s="30">
        <v>7</v>
      </c>
      <c r="D84" s="26" t="s">
        <v>33</v>
      </c>
      <c r="E84" s="31">
        <v>50</v>
      </c>
      <c r="F84" s="32">
        <f t="shared" si="4"/>
        <v>350</v>
      </c>
    </row>
    <row r="85" spans="1:6" s="33" customFormat="1">
      <c r="A85" s="2">
        <v>38</v>
      </c>
      <c r="B85" s="29" t="s">
        <v>56</v>
      </c>
      <c r="C85" s="30">
        <v>19</v>
      </c>
      <c r="D85" s="26" t="s">
        <v>33</v>
      </c>
      <c r="E85" s="31">
        <v>40</v>
      </c>
      <c r="F85" s="32">
        <f t="shared" si="4"/>
        <v>760</v>
      </c>
    </row>
    <row r="86" spans="1:6" s="33" customFormat="1">
      <c r="A86" s="2">
        <v>39</v>
      </c>
      <c r="B86" s="29" t="s">
        <v>57</v>
      </c>
      <c r="C86" s="30">
        <v>3</v>
      </c>
      <c r="D86" s="26" t="s">
        <v>29</v>
      </c>
      <c r="E86" s="31">
        <v>130</v>
      </c>
      <c r="F86" s="32">
        <f t="shared" si="4"/>
        <v>390</v>
      </c>
    </row>
    <row r="87" spans="1:6" s="33" customFormat="1">
      <c r="A87" s="2">
        <v>40</v>
      </c>
      <c r="B87" s="29" t="s">
        <v>58</v>
      </c>
      <c r="C87" s="30">
        <v>1</v>
      </c>
      <c r="D87" s="26" t="s">
        <v>12</v>
      </c>
      <c r="E87" s="31">
        <v>230</v>
      </c>
      <c r="F87" s="32">
        <f t="shared" si="4"/>
        <v>230</v>
      </c>
    </row>
    <row r="88" spans="1:6" s="33" customFormat="1">
      <c r="A88" s="2">
        <v>41</v>
      </c>
      <c r="B88" s="29" t="s">
        <v>59</v>
      </c>
      <c r="C88" s="30">
        <v>4</v>
      </c>
      <c r="D88" s="26" t="s">
        <v>11</v>
      </c>
      <c r="E88" s="31">
        <v>180</v>
      </c>
      <c r="F88" s="32">
        <f t="shared" si="4"/>
        <v>720</v>
      </c>
    </row>
    <row r="89" spans="1:6" s="33" customFormat="1">
      <c r="A89" s="2">
        <v>42</v>
      </c>
      <c r="B89" s="29" t="s">
        <v>60</v>
      </c>
      <c r="C89" s="30">
        <v>5</v>
      </c>
      <c r="D89" s="26" t="s">
        <v>16</v>
      </c>
      <c r="E89" s="31">
        <v>105</v>
      </c>
      <c r="F89" s="32">
        <f t="shared" si="4"/>
        <v>525</v>
      </c>
    </row>
    <row r="90" spans="1:6" s="33" customFormat="1">
      <c r="A90" s="2">
        <v>43</v>
      </c>
      <c r="B90" s="29" t="s">
        <v>61</v>
      </c>
      <c r="C90" s="38">
        <v>4</v>
      </c>
      <c r="D90" s="26" t="s">
        <v>44</v>
      </c>
      <c r="E90" s="34">
        <v>220</v>
      </c>
      <c r="F90" s="32">
        <f t="shared" si="4"/>
        <v>880</v>
      </c>
    </row>
    <row r="91" spans="1:6" s="33" customFormat="1">
      <c r="A91" s="2">
        <v>44</v>
      </c>
      <c r="B91" s="29" t="s">
        <v>62</v>
      </c>
      <c r="C91" s="37">
        <v>100</v>
      </c>
      <c r="D91" s="36" t="s">
        <v>44</v>
      </c>
      <c r="E91" s="31">
        <v>9</v>
      </c>
      <c r="F91" s="32">
        <f t="shared" si="4"/>
        <v>900</v>
      </c>
    </row>
    <row r="92" spans="1:6" s="33" customFormat="1">
      <c r="A92" s="2">
        <v>45</v>
      </c>
      <c r="B92" s="29" t="s">
        <v>63</v>
      </c>
      <c r="C92" s="37">
        <v>6</v>
      </c>
      <c r="D92" s="36" t="s">
        <v>12</v>
      </c>
      <c r="E92" s="31">
        <v>50</v>
      </c>
      <c r="F92" s="32">
        <f t="shared" si="4"/>
        <v>300</v>
      </c>
    </row>
    <row r="93" spans="1:6" s="33" customFormat="1">
      <c r="A93" s="109" t="s">
        <v>23</v>
      </c>
      <c r="B93" s="109"/>
      <c r="C93" s="109"/>
      <c r="D93" s="35">
        <f>SUM(D77:D80)</f>
        <v>0</v>
      </c>
      <c r="E93" s="29"/>
      <c r="F93" s="35">
        <f>SUM(F77:F92)</f>
        <v>96548</v>
      </c>
    </row>
    <row r="95" spans="1:6">
      <c r="A95" s="19"/>
      <c r="B95" s="19"/>
      <c r="C95" s="19"/>
      <c r="D95" s="19"/>
      <c r="E95" s="19"/>
      <c r="F95" s="19"/>
    </row>
    <row r="96" spans="1:6">
      <c r="A96" s="19"/>
      <c r="B96" s="19"/>
      <c r="C96" s="19"/>
      <c r="D96" s="19"/>
      <c r="E96" s="19"/>
      <c r="F96" s="19"/>
    </row>
    <row r="97" spans="1:6">
      <c r="A97" s="19"/>
      <c r="B97" s="19"/>
      <c r="C97" s="19"/>
      <c r="D97" s="19"/>
      <c r="E97" s="19"/>
      <c r="F97" s="19"/>
    </row>
    <row r="98" spans="1:6">
      <c r="A98" s="19"/>
      <c r="B98" s="19"/>
      <c r="C98" s="19"/>
      <c r="D98" s="19"/>
      <c r="E98" s="19"/>
      <c r="F98" s="19"/>
    </row>
    <row r="99" spans="1:6">
      <c r="A99" s="19"/>
      <c r="B99" s="19"/>
      <c r="C99" s="19"/>
      <c r="D99" s="19"/>
      <c r="E99" s="19"/>
      <c r="F99" s="19"/>
    </row>
    <row r="100" spans="1:6">
      <c r="A100" s="108"/>
      <c r="B100" s="108"/>
      <c r="C100" s="108"/>
      <c r="D100" s="108"/>
      <c r="E100" s="108"/>
      <c r="F100" s="108"/>
    </row>
    <row r="101" spans="1:6">
      <c r="A101" s="108"/>
      <c r="B101" s="108"/>
      <c r="C101" s="108"/>
      <c r="D101" s="108"/>
      <c r="E101" s="108"/>
      <c r="F101" s="108"/>
    </row>
    <row r="102" spans="1:6">
      <c r="A102" s="108"/>
      <c r="B102" s="108"/>
      <c r="C102" s="108"/>
      <c r="D102" s="108"/>
      <c r="E102" s="108"/>
      <c r="F102" s="108"/>
    </row>
    <row r="103" spans="1:6">
      <c r="A103" s="18"/>
      <c r="B103" s="18"/>
      <c r="C103" s="18"/>
      <c r="D103" s="18"/>
      <c r="E103" s="18"/>
      <c r="F103" s="18"/>
    </row>
    <row r="104" spans="1:6">
      <c r="A104" s="18"/>
      <c r="B104" s="18"/>
      <c r="C104" s="18"/>
      <c r="D104" s="18"/>
      <c r="E104" s="18"/>
      <c r="F104" s="18"/>
    </row>
    <row r="105" spans="1:6">
      <c r="A105" s="18"/>
      <c r="B105" s="18"/>
      <c r="C105" s="18"/>
      <c r="D105" s="18"/>
      <c r="E105" s="18"/>
      <c r="F105" s="18"/>
    </row>
    <row r="106" spans="1:6">
      <c r="A106" s="18"/>
      <c r="B106" s="18"/>
      <c r="C106" s="18"/>
      <c r="D106" s="18"/>
      <c r="E106" s="18"/>
      <c r="F106" s="18"/>
    </row>
    <row r="107" spans="1:6">
      <c r="A107" s="18"/>
      <c r="B107" s="18"/>
      <c r="C107" s="18"/>
      <c r="D107" s="18"/>
      <c r="E107" s="18"/>
      <c r="F107" s="18"/>
    </row>
    <row r="108" spans="1:6">
      <c r="A108" s="18"/>
      <c r="B108" s="18"/>
      <c r="C108" s="18"/>
      <c r="D108" s="18"/>
      <c r="E108" s="18"/>
      <c r="F108" s="18"/>
    </row>
    <row r="109" spans="1:6">
      <c r="A109" s="18"/>
      <c r="B109" s="18"/>
      <c r="C109" s="18"/>
      <c r="D109" s="18"/>
      <c r="E109" s="18"/>
      <c r="F109" s="18"/>
    </row>
    <row r="110" spans="1:6">
      <c r="A110" s="18"/>
      <c r="B110" s="18"/>
      <c r="C110" s="18"/>
      <c r="D110" s="18"/>
      <c r="E110" s="18"/>
      <c r="F110" s="18"/>
    </row>
    <row r="111" spans="1:6">
      <c r="A111" s="18"/>
      <c r="B111" s="18"/>
      <c r="C111" s="18"/>
      <c r="D111" s="18"/>
      <c r="E111" s="18"/>
      <c r="F111" s="18"/>
    </row>
    <row r="112" spans="1:6">
      <c r="A112" s="18"/>
      <c r="B112" s="18"/>
      <c r="C112" s="18"/>
      <c r="D112" s="18"/>
      <c r="E112" s="18"/>
      <c r="F112" s="18"/>
    </row>
    <row r="113" spans="1:12">
      <c r="A113" s="103" t="s">
        <v>1</v>
      </c>
      <c r="B113" s="103" t="s">
        <v>2</v>
      </c>
      <c r="C113" s="103" t="s">
        <v>3</v>
      </c>
      <c r="D113" s="103" t="s">
        <v>4</v>
      </c>
      <c r="E113" s="106" t="s">
        <v>5</v>
      </c>
      <c r="F113" s="105" t="s">
        <v>6</v>
      </c>
    </row>
    <row r="114" spans="1:12">
      <c r="A114" s="104"/>
      <c r="B114" s="104"/>
      <c r="C114" s="104"/>
      <c r="D114" s="104"/>
      <c r="E114" s="107"/>
      <c r="F114" s="105"/>
    </row>
    <row r="115" spans="1:12">
      <c r="A115" s="2"/>
      <c r="B115" s="14" t="s">
        <v>24</v>
      </c>
      <c r="C115" s="11"/>
      <c r="D115" s="5"/>
      <c r="E115" s="9"/>
      <c r="F115" s="7">
        <f>F93</f>
        <v>96548</v>
      </c>
    </row>
    <row r="116" spans="1:12">
      <c r="A116" s="2">
        <v>46</v>
      </c>
      <c r="B116" s="3" t="s">
        <v>64</v>
      </c>
      <c r="C116" s="12">
        <v>19</v>
      </c>
      <c r="D116" s="8" t="s">
        <v>12</v>
      </c>
      <c r="E116" s="22">
        <v>45</v>
      </c>
      <c r="F116" s="23">
        <f t="shared" ref="F116:F132" si="5">C116*E116</f>
        <v>855</v>
      </c>
    </row>
    <row r="117" spans="1:12" s="33" customFormat="1">
      <c r="A117" s="28">
        <v>47</v>
      </c>
      <c r="B117" s="39" t="s">
        <v>65</v>
      </c>
      <c r="C117" s="37">
        <v>15</v>
      </c>
      <c r="D117" s="36" t="s">
        <v>66</v>
      </c>
      <c r="E117" s="31">
        <v>25</v>
      </c>
      <c r="F117" s="32">
        <f t="shared" si="5"/>
        <v>375</v>
      </c>
    </row>
    <row r="118" spans="1:12" s="47" customFormat="1">
      <c r="A118" s="40">
        <v>48</v>
      </c>
      <c r="B118" s="41" t="s">
        <v>137</v>
      </c>
      <c r="C118" s="42">
        <v>1</v>
      </c>
      <c r="D118" s="43" t="s">
        <v>29</v>
      </c>
      <c r="E118" s="44">
        <v>450</v>
      </c>
      <c r="F118" s="45">
        <f t="shared" si="5"/>
        <v>450</v>
      </c>
      <c r="G118" s="46"/>
      <c r="H118" s="46"/>
      <c r="I118" s="46"/>
      <c r="J118" s="46"/>
      <c r="K118" s="46"/>
      <c r="L118" s="46"/>
    </row>
    <row r="119" spans="1:12">
      <c r="A119" s="2">
        <v>49</v>
      </c>
      <c r="B119" s="29" t="s">
        <v>138</v>
      </c>
      <c r="C119" s="37">
        <v>37</v>
      </c>
      <c r="D119" s="36" t="s">
        <v>66</v>
      </c>
      <c r="E119" s="31">
        <v>7</v>
      </c>
      <c r="F119" s="32">
        <f t="shared" si="5"/>
        <v>259</v>
      </c>
      <c r="G119" s="33"/>
      <c r="H119" s="33"/>
      <c r="I119" s="33"/>
      <c r="J119" s="33"/>
      <c r="K119" s="33"/>
      <c r="L119" s="33"/>
    </row>
    <row r="120" spans="1:12">
      <c r="A120" s="28">
        <v>50</v>
      </c>
      <c r="B120" s="58" t="s">
        <v>146</v>
      </c>
      <c r="C120" s="37">
        <v>1</v>
      </c>
      <c r="D120" s="36" t="s">
        <v>42</v>
      </c>
      <c r="E120" s="31">
        <v>550</v>
      </c>
      <c r="F120" s="32">
        <f t="shared" si="5"/>
        <v>550</v>
      </c>
      <c r="G120" s="33"/>
      <c r="H120" s="33"/>
      <c r="I120" s="33"/>
      <c r="J120" s="33"/>
      <c r="K120" s="33"/>
      <c r="L120" s="33"/>
    </row>
    <row r="121" spans="1:12">
      <c r="A121" s="40">
        <v>51</v>
      </c>
      <c r="B121" s="58" t="s">
        <v>147</v>
      </c>
      <c r="C121" s="37">
        <v>44</v>
      </c>
      <c r="D121" s="36" t="s">
        <v>44</v>
      </c>
      <c r="E121" s="31">
        <v>25</v>
      </c>
      <c r="F121" s="32">
        <f t="shared" si="5"/>
        <v>1100</v>
      </c>
      <c r="G121" s="33"/>
      <c r="H121" s="33"/>
      <c r="I121" s="33"/>
      <c r="J121" s="33"/>
      <c r="K121" s="33"/>
      <c r="L121" s="33"/>
    </row>
    <row r="122" spans="1:12">
      <c r="A122" s="2">
        <v>52</v>
      </c>
      <c r="B122" s="58" t="s">
        <v>148</v>
      </c>
      <c r="C122" s="37">
        <v>45</v>
      </c>
      <c r="D122" s="36" t="s">
        <v>29</v>
      </c>
      <c r="E122" s="31">
        <v>10</v>
      </c>
      <c r="F122" s="32">
        <f t="shared" si="5"/>
        <v>450</v>
      </c>
      <c r="G122" s="33"/>
      <c r="H122" s="33"/>
      <c r="I122" s="33"/>
      <c r="J122" s="33"/>
      <c r="K122" s="33"/>
      <c r="L122" s="33"/>
    </row>
    <row r="123" spans="1:12">
      <c r="A123" s="28">
        <v>53</v>
      </c>
      <c r="B123" s="58" t="s">
        <v>149</v>
      </c>
      <c r="C123" s="37">
        <v>16</v>
      </c>
      <c r="D123" s="36" t="s">
        <v>16</v>
      </c>
      <c r="E123" s="31">
        <v>95</v>
      </c>
      <c r="F123" s="32">
        <f t="shared" si="5"/>
        <v>1520</v>
      </c>
      <c r="G123" s="33"/>
      <c r="H123" s="33"/>
      <c r="I123" s="33"/>
      <c r="J123" s="33"/>
      <c r="K123" s="33"/>
      <c r="L123" s="33"/>
    </row>
    <row r="124" spans="1:12">
      <c r="A124" s="40">
        <v>54</v>
      </c>
      <c r="B124" s="58" t="s">
        <v>159</v>
      </c>
      <c r="C124" s="37">
        <v>1</v>
      </c>
      <c r="D124" s="36" t="s">
        <v>160</v>
      </c>
      <c r="E124" s="31">
        <v>14</v>
      </c>
      <c r="F124" s="32">
        <f t="shared" si="5"/>
        <v>14</v>
      </c>
      <c r="G124" s="33"/>
      <c r="H124" s="33"/>
      <c r="I124" s="33"/>
      <c r="J124" s="33"/>
      <c r="K124" s="33"/>
      <c r="L124" s="33"/>
    </row>
    <row r="125" spans="1:12">
      <c r="A125" s="2">
        <v>55</v>
      </c>
      <c r="B125" s="58" t="s">
        <v>161</v>
      </c>
      <c r="C125" s="37">
        <v>48</v>
      </c>
      <c r="D125" s="36" t="s">
        <v>160</v>
      </c>
      <c r="E125" s="31">
        <v>25</v>
      </c>
      <c r="F125" s="32">
        <f t="shared" si="5"/>
        <v>1200</v>
      </c>
      <c r="G125" s="33"/>
      <c r="H125" s="33"/>
      <c r="I125" s="33"/>
      <c r="J125" s="33"/>
      <c r="K125" s="33"/>
      <c r="L125" s="33"/>
    </row>
    <row r="126" spans="1:12">
      <c r="A126" s="28">
        <v>56</v>
      </c>
      <c r="B126" s="62" t="s">
        <v>162</v>
      </c>
      <c r="C126" s="12">
        <v>13</v>
      </c>
      <c r="D126" s="8" t="s">
        <v>29</v>
      </c>
      <c r="E126" s="22">
        <v>130</v>
      </c>
      <c r="F126" s="23">
        <f t="shared" si="5"/>
        <v>1690</v>
      </c>
    </row>
    <row r="127" spans="1:12">
      <c r="A127" s="40">
        <v>57</v>
      </c>
      <c r="B127" s="62" t="s">
        <v>163</v>
      </c>
      <c r="C127" s="12">
        <v>9</v>
      </c>
      <c r="D127" s="8" t="s">
        <v>79</v>
      </c>
      <c r="E127" s="22">
        <v>40</v>
      </c>
      <c r="F127" s="23">
        <f t="shared" si="5"/>
        <v>360</v>
      </c>
    </row>
    <row r="128" spans="1:12">
      <c r="A128" s="2">
        <v>58</v>
      </c>
      <c r="B128" s="62" t="s">
        <v>164</v>
      </c>
      <c r="C128" s="12">
        <v>12</v>
      </c>
      <c r="D128" s="8" t="s">
        <v>79</v>
      </c>
      <c r="E128" s="22">
        <v>180</v>
      </c>
      <c r="F128" s="23">
        <f t="shared" si="5"/>
        <v>2160</v>
      </c>
    </row>
    <row r="129" spans="1:6">
      <c r="A129" s="28">
        <v>59</v>
      </c>
      <c r="B129" s="63" t="s">
        <v>165</v>
      </c>
      <c r="C129" s="12">
        <v>3</v>
      </c>
      <c r="D129" s="8" t="s">
        <v>33</v>
      </c>
      <c r="E129" s="22">
        <v>20</v>
      </c>
      <c r="F129" s="23">
        <f t="shared" si="5"/>
        <v>60</v>
      </c>
    </row>
    <row r="130" spans="1:6">
      <c r="A130" s="40">
        <v>60</v>
      </c>
      <c r="B130" s="64" t="s">
        <v>166</v>
      </c>
      <c r="C130" s="12">
        <v>5</v>
      </c>
      <c r="D130" s="8" t="s">
        <v>11</v>
      </c>
      <c r="E130" s="22">
        <v>180</v>
      </c>
      <c r="F130" s="23">
        <f t="shared" si="5"/>
        <v>900</v>
      </c>
    </row>
    <row r="131" spans="1:6">
      <c r="A131" s="2">
        <v>61</v>
      </c>
      <c r="B131" s="58" t="s">
        <v>167</v>
      </c>
      <c r="C131" s="12">
        <v>29</v>
      </c>
      <c r="D131" s="8" t="s">
        <v>29</v>
      </c>
      <c r="E131" s="22">
        <v>60</v>
      </c>
      <c r="F131" s="23">
        <f t="shared" si="5"/>
        <v>1740</v>
      </c>
    </row>
    <row r="132" spans="1:6">
      <c r="A132" s="28">
        <v>62</v>
      </c>
      <c r="B132" s="58" t="s">
        <v>168</v>
      </c>
      <c r="C132" s="12">
        <v>23</v>
      </c>
      <c r="D132" s="8" t="s">
        <v>29</v>
      </c>
      <c r="E132" s="22">
        <v>80</v>
      </c>
      <c r="F132" s="23">
        <f t="shared" si="5"/>
        <v>1840</v>
      </c>
    </row>
    <row r="133" spans="1:6">
      <c r="A133" s="101" t="s">
        <v>23</v>
      </c>
      <c r="B133" s="101"/>
      <c r="C133" s="101"/>
      <c r="D133" s="7">
        <f>SUM(D115:D115)</f>
        <v>0</v>
      </c>
      <c r="E133" s="3"/>
      <c r="F133" s="7">
        <f>SUM(F115:F132)</f>
        <v>112071</v>
      </c>
    </row>
    <row r="144" spans="1:6">
      <c r="A144" s="19"/>
      <c r="B144" s="19"/>
      <c r="C144" s="19"/>
      <c r="D144" s="19"/>
      <c r="E144" s="19"/>
      <c r="F144" s="19"/>
    </row>
    <row r="145" spans="1:6">
      <c r="A145" s="19"/>
      <c r="B145" s="19"/>
      <c r="C145" s="19"/>
      <c r="D145" s="19"/>
      <c r="E145" s="19"/>
      <c r="F145" s="19"/>
    </row>
    <row r="146" spans="1:6">
      <c r="A146" s="19"/>
      <c r="B146" s="19"/>
      <c r="C146" s="19"/>
      <c r="D146" s="19"/>
      <c r="E146" s="19"/>
      <c r="F146" s="19"/>
    </row>
    <row r="147" spans="1:6">
      <c r="A147" s="19"/>
      <c r="B147" s="19"/>
      <c r="C147" s="19"/>
      <c r="D147" s="19"/>
      <c r="E147" s="19"/>
      <c r="F147" s="19"/>
    </row>
    <row r="148" spans="1:6">
      <c r="A148" s="19"/>
      <c r="B148" s="19"/>
      <c r="C148" s="19"/>
      <c r="D148" s="19"/>
      <c r="E148" s="19"/>
      <c r="F148" s="19"/>
    </row>
    <row r="149" spans="1:6">
      <c r="A149" s="18"/>
      <c r="B149" s="18"/>
      <c r="C149" s="18"/>
      <c r="D149" s="18"/>
      <c r="E149" s="18"/>
      <c r="F149" s="18"/>
    </row>
    <row r="150" spans="1:6">
      <c r="A150" s="103" t="s">
        <v>1</v>
      </c>
      <c r="B150" s="103" t="s">
        <v>2</v>
      </c>
      <c r="C150" s="103" t="s">
        <v>3</v>
      </c>
      <c r="D150" s="103" t="s">
        <v>4</v>
      </c>
      <c r="E150" s="106" t="s">
        <v>5</v>
      </c>
      <c r="F150" s="105" t="s">
        <v>6</v>
      </c>
    </row>
    <row r="151" spans="1:6">
      <c r="A151" s="104"/>
      <c r="B151" s="104"/>
      <c r="C151" s="104"/>
      <c r="D151" s="104"/>
      <c r="E151" s="107"/>
      <c r="F151" s="105"/>
    </row>
    <row r="152" spans="1:6">
      <c r="A152" s="2"/>
      <c r="B152" s="14" t="s">
        <v>24</v>
      </c>
      <c r="C152" s="11"/>
      <c r="D152" s="5"/>
      <c r="E152" s="9"/>
      <c r="F152" s="7">
        <f>F133</f>
        <v>112071</v>
      </c>
    </row>
    <row r="153" spans="1:6">
      <c r="A153" s="2">
        <v>63</v>
      </c>
      <c r="B153" s="62" t="s">
        <v>169</v>
      </c>
      <c r="C153" s="12">
        <v>21</v>
      </c>
      <c r="D153" s="8" t="s">
        <v>29</v>
      </c>
      <c r="E153" s="22">
        <v>85</v>
      </c>
      <c r="F153" s="23">
        <f t="shared" ref="F153:F164" si="6">C153*E153</f>
        <v>1785</v>
      </c>
    </row>
    <row r="154" spans="1:6">
      <c r="A154" s="2">
        <v>64</v>
      </c>
      <c r="B154" s="62" t="s">
        <v>170</v>
      </c>
      <c r="C154" s="12">
        <v>12</v>
      </c>
      <c r="D154" s="8" t="s">
        <v>29</v>
      </c>
      <c r="E154" s="22">
        <v>95</v>
      </c>
      <c r="F154" s="23">
        <f t="shared" si="6"/>
        <v>1140</v>
      </c>
    </row>
    <row r="155" spans="1:6">
      <c r="A155" s="2">
        <v>65</v>
      </c>
      <c r="B155" s="62" t="s">
        <v>171</v>
      </c>
      <c r="C155" s="16">
        <v>12</v>
      </c>
      <c r="D155" s="8" t="s">
        <v>29</v>
      </c>
      <c r="E155" s="65">
        <v>110</v>
      </c>
      <c r="F155" s="66">
        <f t="shared" si="6"/>
        <v>1320</v>
      </c>
    </row>
    <row r="156" spans="1:6">
      <c r="A156" s="2">
        <v>66</v>
      </c>
      <c r="B156" s="58" t="s">
        <v>172</v>
      </c>
      <c r="C156" s="12">
        <v>20</v>
      </c>
      <c r="D156" s="8" t="s">
        <v>38</v>
      </c>
      <c r="E156" s="22">
        <v>35</v>
      </c>
      <c r="F156" s="23">
        <f t="shared" si="6"/>
        <v>700</v>
      </c>
    </row>
    <row r="157" spans="1:6">
      <c r="A157" s="2">
        <v>67</v>
      </c>
      <c r="B157" s="67" t="s">
        <v>173</v>
      </c>
      <c r="C157" s="12">
        <v>12</v>
      </c>
      <c r="D157" s="8" t="s">
        <v>38</v>
      </c>
      <c r="E157" s="22">
        <v>60</v>
      </c>
      <c r="F157" s="23">
        <f t="shared" si="6"/>
        <v>720</v>
      </c>
    </row>
    <row r="158" spans="1:6">
      <c r="A158" s="2">
        <v>68</v>
      </c>
      <c r="B158" s="62" t="s">
        <v>174</v>
      </c>
      <c r="C158" s="12">
        <v>10</v>
      </c>
      <c r="D158" s="8" t="s">
        <v>13</v>
      </c>
      <c r="E158" s="22">
        <v>75</v>
      </c>
      <c r="F158" s="23">
        <f t="shared" si="6"/>
        <v>750</v>
      </c>
    </row>
    <row r="159" spans="1:6">
      <c r="A159" s="2">
        <v>69</v>
      </c>
      <c r="B159" s="62" t="s">
        <v>175</v>
      </c>
      <c r="C159" s="12">
        <v>10</v>
      </c>
      <c r="D159" s="8" t="s">
        <v>13</v>
      </c>
      <c r="E159" s="22">
        <v>75</v>
      </c>
      <c r="F159" s="23">
        <f t="shared" si="6"/>
        <v>750</v>
      </c>
    </row>
    <row r="160" spans="1:6">
      <c r="A160" s="2">
        <v>70</v>
      </c>
      <c r="B160" s="62" t="s">
        <v>176</v>
      </c>
      <c r="C160" s="12">
        <v>2</v>
      </c>
      <c r="D160" s="8" t="s">
        <v>13</v>
      </c>
      <c r="E160" s="22">
        <v>220</v>
      </c>
      <c r="F160" s="23">
        <f t="shared" si="6"/>
        <v>440</v>
      </c>
    </row>
    <row r="161" spans="1:6">
      <c r="A161" s="2">
        <v>71</v>
      </c>
      <c r="B161" s="62" t="s">
        <v>183</v>
      </c>
      <c r="C161" s="12">
        <v>4</v>
      </c>
      <c r="D161" s="8" t="s">
        <v>12</v>
      </c>
      <c r="E161" s="22">
        <v>70</v>
      </c>
      <c r="F161" s="23">
        <f t="shared" si="6"/>
        <v>280</v>
      </c>
    </row>
    <row r="162" spans="1:6">
      <c r="A162" s="2">
        <v>72</v>
      </c>
      <c r="B162" s="62" t="s">
        <v>184</v>
      </c>
      <c r="C162" s="12">
        <v>1</v>
      </c>
      <c r="D162" s="8" t="s">
        <v>42</v>
      </c>
      <c r="E162" s="22">
        <v>1800</v>
      </c>
      <c r="F162" s="23">
        <f t="shared" si="6"/>
        <v>1800</v>
      </c>
    </row>
    <row r="163" spans="1:6">
      <c r="A163" s="2">
        <v>73</v>
      </c>
      <c r="B163" s="62" t="s">
        <v>185</v>
      </c>
      <c r="C163" s="12">
        <v>8</v>
      </c>
      <c r="D163" s="8" t="s">
        <v>42</v>
      </c>
      <c r="E163" s="22">
        <v>90</v>
      </c>
      <c r="F163" s="23">
        <f t="shared" si="6"/>
        <v>720</v>
      </c>
    </row>
    <row r="164" spans="1:6">
      <c r="A164" s="2">
        <v>74</v>
      </c>
      <c r="B164" s="62" t="s">
        <v>186</v>
      </c>
      <c r="C164" s="12">
        <v>47</v>
      </c>
      <c r="D164" s="8" t="s">
        <v>11</v>
      </c>
      <c r="E164" s="22">
        <v>25</v>
      </c>
      <c r="F164" s="23">
        <f t="shared" si="6"/>
        <v>1175</v>
      </c>
    </row>
    <row r="165" spans="1:6">
      <c r="A165" s="101" t="s">
        <v>23</v>
      </c>
      <c r="B165" s="101"/>
      <c r="C165" s="101"/>
      <c r="D165" s="7">
        <f>SUM(D152:D152)</f>
        <v>0</v>
      </c>
      <c r="E165" s="3"/>
      <c r="F165" s="7">
        <f>SUM(F152:F164)</f>
        <v>123651</v>
      </c>
    </row>
    <row r="176" spans="1:6">
      <c r="A176" s="19"/>
      <c r="B176" s="19"/>
      <c r="C176" s="19"/>
      <c r="D176" s="19"/>
      <c r="E176" s="19"/>
      <c r="F176" s="19"/>
    </row>
    <row r="177" spans="1:6">
      <c r="A177" s="19"/>
      <c r="B177" s="19"/>
      <c r="C177" s="19"/>
      <c r="D177" s="19"/>
      <c r="E177" s="19"/>
      <c r="F177" s="19"/>
    </row>
    <row r="178" spans="1:6">
      <c r="A178" s="19"/>
      <c r="B178" s="19"/>
      <c r="C178" s="19"/>
      <c r="D178" s="19"/>
      <c r="E178" s="19"/>
      <c r="F178" s="19"/>
    </row>
    <row r="179" spans="1:6">
      <c r="A179" s="19"/>
      <c r="B179" s="19"/>
      <c r="C179" s="19"/>
      <c r="D179" s="19"/>
      <c r="E179" s="19"/>
      <c r="F179" s="19"/>
    </row>
    <row r="185" spans="1:6">
      <c r="A185" s="19"/>
      <c r="B185" s="19"/>
      <c r="C185" s="19"/>
      <c r="D185" s="19"/>
      <c r="E185" s="19"/>
      <c r="F185" s="19"/>
    </row>
    <row r="186" spans="1:6">
      <c r="A186" s="18"/>
      <c r="B186" s="18"/>
      <c r="C186" s="18"/>
      <c r="D186" s="18"/>
      <c r="E186" s="18"/>
      <c r="F186" s="18"/>
    </row>
    <row r="187" spans="1:6">
      <c r="A187" s="103" t="s">
        <v>1</v>
      </c>
      <c r="B187" s="103" t="s">
        <v>2</v>
      </c>
      <c r="C187" s="103" t="s">
        <v>3</v>
      </c>
      <c r="D187" s="103" t="s">
        <v>4</v>
      </c>
      <c r="E187" s="106" t="s">
        <v>5</v>
      </c>
      <c r="F187" s="105" t="s">
        <v>6</v>
      </c>
    </row>
    <row r="188" spans="1:6">
      <c r="A188" s="104"/>
      <c r="B188" s="104"/>
      <c r="C188" s="104"/>
      <c r="D188" s="104"/>
      <c r="E188" s="107"/>
      <c r="F188" s="105"/>
    </row>
    <row r="189" spans="1:6">
      <c r="A189" s="2"/>
      <c r="B189" s="14" t="s">
        <v>24</v>
      </c>
      <c r="C189" s="11"/>
      <c r="D189" s="5"/>
      <c r="E189" s="9"/>
      <c r="F189" s="7">
        <f>F165</f>
        <v>123651</v>
      </c>
    </row>
    <row r="190" spans="1:6">
      <c r="A190" s="2">
        <v>75</v>
      </c>
      <c r="B190" s="67" t="s">
        <v>190</v>
      </c>
      <c r="C190" s="12">
        <v>1</v>
      </c>
      <c r="D190" s="8" t="s">
        <v>11</v>
      </c>
      <c r="E190" s="22">
        <v>95</v>
      </c>
      <c r="F190" s="23">
        <f t="shared" ref="F190:F197" si="7">C190*E190</f>
        <v>95</v>
      </c>
    </row>
    <row r="191" spans="1:6">
      <c r="A191" s="2">
        <v>76</v>
      </c>
      <c r="B191" s="58" t="s">
        <v>191</v>
      </c>
      <c r="C191" s="12">
        <v>2</v>
      </c>
      <c r="D191" s="8" t="s">
        <v>11</v>
      </c>
      <c r="E191" s="22">
        <v>150</v>
      </c>
      <c r="F191" s="23">
        <f t="shared" si="7"/>
        <v>300</v>
      </c>
    </row>
    <row r="192" spans="1:6">
      <c r="A192" s="2">
        <v>77</v>
      </c>
      <c r="B192" s="58" t="s">
        <v>192</v>
      </c>
      <c r="C192" s="12">
        <v>5</v>
      </c>
      <c r="D192" s="8" t="s">
        <v>12</v>
      </c>
      <c r="E192" s="22">
        <v>120</v>
      </c>
      <c r="F192" s="23">
        <f t="shared" si="7"/>
        <v>600</v>
      </c>
    </row>
    <row r="193" spans="1:6">
      <c r="A193" s="2">
        <v>78</v>
      </c>
      <c r="B193" s="58" t="s">
        <v>193</v>
      </c>
      <c r="C193" s="12">
        <v>1</v>
      </c>
      <c r="D193" s="8" t="s">
        <v>194</v>
      </c>
      <c r="E193" s="22">
        <v>360</v>
      </c>
      <c r="F193" s="23">
        <f t="shared" si="7"/>
        <v>360</v>
      </c>
    </row>
    <row r="194" spans="1:6">
      <c r="A194" s="2">
        <v>79</v>
      </c>
      <c r="B194" s="68" t="s">
        <v>195</v>
      </c>
      <c r="C194" s="12">
        <v>1</v>
      </c>
      <c r="D194" s="8" t="s">
        <v>29</v>
      </c>
      <c r="E194" s="22">
        <v>4950</v>
      </c>
      <c r="F194" s="23">
        <f t="shared" si="7"/>
        <v>4950</v>
      </c>
    </row>
    <row r="195" spans="1:6">
      <c r="A195" s="2">
        <v>80</v>
      </c>
      <c r="B195" s="69" t="s">
        <v>196</v>
      </c>
      <c r="C195" s="12">
        <v>5</v>
      </c>
      <c r="D195" s="8" t="s">
        <v>11</v>
      </c>
      <c r="E195" s="22">
        <v>650</v>
      </c>
      <c r="F195" s="23">
        <f t="shared" si="7"/>
        <v>3250</v>
      </c>
    </row>
    <row r="196" spans="1:6">
      <c r="A196" s="2">
        <v>81</v>
      </c>
      <c r="B196" s="69" t="s">
        <v>197</v>
      </c>
      <c r="C196" s="12">
        <v>100</v>
      </c>
      <c r="D196" s="8" t="s">
        <v>16</v>
      </c>
      <c r="E196" s="22">
        <v>95</v>
      </c>
      <c r="F196" s="23">
        <f t="shared" si="7"/>
        <v>9500</v>
      </c>
    </row>
    <row r="197" spans="1:6">
      <c r="A197" s="2">
        <v>82</v>
      </c>
      <c r="B197" s="69" t="s">
        <v>198</v>
      </c>
      <c r="C197" s="12">
        <v>12</v>
      </c>
      <c r="D197" s="8" t="s">
        <v>20</v>
      </c>
      <c r="E197" s="22">
        <v>30</v>
      </c>
      <c r="F197" s="23">
        <f t="shared" si="7"/>
        <v>360</v>
      </c>
    </row>
    <row r="198" spans="1:6">
      <c r="A198" s="101" t="s">
        <v>67</v>
      </c>
      <c r="B198" s="101"/>
      <c r="C198" s="101"/>
      <c r="D198" s="7">
        <f>SUM(D189:D189)</f>
        <v>0</v>
      </c>
      <c r="E198" s="3"/>
      <c r="F198" s="7">
        <f>SUM(F189:F197)</f>
        <v>143066</v>
      </c>
    </row>
    <row r="209" spans="1:6">
      <c r="A209" s="19"/>
      <c r="B209" s="19"/>
      <c r="C209" s="19"/>
      <c r="D209" s="19"/>
      <c r="E209" s="19"/>
      <c r="F209" s="19"/>
    </row>
    <row r="210" spans="1:6">
      <c r="A210" s="19"/>
      <c r="B210" s="19"/>
      <c r="C210" s="19"/>
      <c r="D210" s="19"/>
      <c r="E210" s="19"/>
      <c r="F210" s="19"/>
    </row>
    <row r="211" spans="1:6">
      <c r="A211" s="19"/>
      <c r="B211" s="19"/>
      <c r="C211" s="19"/>
      <c r="D211" s="19"/>
      <c r="E211" s="19"/>
      <c r="F211" s="19"/>
    </row>
    <row r="212" spans="1:6">
      <c r="A212" s="19"/>
      <c r="B212" s="19"/>
      <c r="C212" s="19"/>
      <c r="D212" s="19"/>
      <c r="E212" s="19"/>
      <c r="F212" s="19"/>
    </row>
  </sheetData>
  <mergeCells count="50">
    <mergeCell ref="A198:C198"/>
    <mergeCell ref="F150:F151"/>
    <mergeCell ref="A165:C165"/>
    <mergeCell ref="A187:A188"/>
    <mergeCell ref="B187:B188"/>
    <mergeCell ref="C187:C188"/>
    <mergeCell ref="D187:D188"/>
    <mergeCell ref="E187:E188"/>
    <mergeCell ref="F187:F188"/>
    <mergeCell ref="A150:A151"/>
    <mergeCell ref="B150:B151"/>
    <mergeCell ref="C150:C151"/>
    <mergeCell ref="D150:D151"/>
    <mergeCell ref="E150:E151"/>
    <mergeCell ref="A133:C133"/>
    <mergeCell ref="A93:C93"/>
    <mergeCell ref="A100:F100"/>
    <mergeCell ref="A101:F101"/>
    <mergeCell ref="A102:F102"/>
    <mergeCell ref="A113:A114"/>
    <mergeCell ref="B113:B114"/>
    <mergeCell ref="C113:C114"/>
    <mergeCell ref="D113:D114"/>
    <mergeCell ref="E113:E114"/>
    <mergeCell ref="F113:F114"/>
    <mergeCell ref="D75:D76"/>
    <mergeCell ref="E75:E76"/>
    <mergeCell ref="F75:F76"/>
    <mergeCell ref="A39:A40"/>
    <mergeCell ref="B39:B40"/>
    <mergeCell ref="C39:C40"/>
    <mergeCell ref="D39:D40"/>
    <mergeCell ref="E39:E40"/>
    <mergeCell ref="F39:F40"/>
    <mergeCell ref="A57:C57"/>
    <mergeCell ref="A68:F68"/>
    <mergeCell ref="A75:A76"/>
    <mergeCell ref="B75:B76"/>
    <mergeCell ref="C75:C76"/>
    <mergeCell ref="A24:C24"/>
    <mergeCell ref="A1:F1"/>
    <mergeCell ref="A4:F4"/>
    <mergeCell ref="A3:F3"/>
    <mergeCell ref="A5:A6"/>
    <mergeCell ref="F5:F6"/>
    <mergeCell ref="E5:E6"/>
    <mergeCell ref="D5:D6"/>
    <mergeCell ref="C5:C6"/>
    <mergeCell ref="B5:B6"/>
    <mergeCell ref="A2:F2"/>
  </mergeCells>
  <phoneticPr fontId="4" type="noConversion"/>
  <pageMargins left="0.7" right="0.25" top="0.42" bottom="0.2" header="0.3" footer="0.2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CAF7-E132-4E32-94DA-5A2A5D0021A7}">
  <dimension ref="A2:F19"/>
  <sheetViews>
    <sheetView workbookViewId="0">
      <selection activeCell="E20" sqref="E20"/>
    </sheetView>
  </sheetViews>
  <sheetFormatPr defaultColWidth="9.140625" defaultRowHeight="24"/>
  <cols>
    <col min="1" max="1" width="6.28515625" style="1" customWidth="1"/>
    <col min="2" max="2" width="37.85546875" style="1" customWidth="1"/>
    <col min="3" max="3" width="6.85546875" style="1" customWidth="1"/>
    <col min="4" max="4" width="7.85546875" style="1" customWidth="1"/>
    <col min="5" max="5" width="9.85546875" style="1" customWidth="1"/>
    <col min="6" max="6" width="13.28515625" style="1" customWidth="1"/>
    <col min="7" max="16384" width="9.140625" style="1"/>
  </cols>
  <sheetData>
    <row r="2" spans="1:6">
      <c r="A2" s="103" t="s">
        <v>1</v>
      </c>
      <c r="B2" s="103" t="s">
        <v>2</v>
      </c>
      <c r="C2" s="103" t="s">
        <v>3</v>
      </c>
      <c r="D2" s="103" t="s">
        <v>4</v>
      </c>
      <c r="E2" s="106" t="s">
        <v>5</v>
      </c>
      <c r="F2" s="105" t="s">
        <v>6</v>
      </c>
    </row>
    <row r="3" spans="1:6">
      <c r="A3" s="104"/>
      <c r="B3" s="104"/>
      <c r="C3" s="104"/>
      <c r="D3" s="104"/>
      <c r="E3" s="107"/>
      <c r="F3" s="105"/>
    </row>
    <row r="4" spans="1:6">
      <c r="A4" s="4"/>
      <c r="B4" s="21" t="s">
        <v>68</v>
      </c>
      <c r="C4" s="4"/>
      <c r="D4" s="4"/>
      <c r="E4" s="10"/>
      <c r="F4" s="20"/>
    </row>
    <row r="5" spans="1:6">
      <c r="A5" s="2">
        <v>1</v>
      </c>
      <c r="B5" s="3" t="s">
        <v>69</v>
      </c>
      <c r="C5" s="11">
        <v>8</v>
      </c>
      <c r="D5" s="5" t="s">
        <v>12</v>
      </c>
      <c r="E5" s="9">
        <v>380</v>
      </c>
      <c r="F5" s="7">
        <f>E5*C5</f>
        <v>3040</v>
      </c>
    </row>
    <row r="6" spans="1:6">
      <c r="A6" s="2">
        <v>2</v>
      </c>
      <c r="B6" s="3" t="s">
        <v>70</v>
      </c>
      <c r="C6" s="11">
        <v>8</v>
      </c>
      <c r="D6" s="5" t="s">
        <v>12</v>
      </c>
      <c r="E6" s="9">
        <v>290</v>
      </c>
      <c r="F6" s="7">
        <f t="shared" ref="F6:F18" si="0">E6*C6</f>
        <v>2320</v>
      </c>
    </row>
    <row r="7" spans="1:6">
      <c r="A7" s="2">
        <v>3</v>
      </c>
      <c r="B7" s="3" t="s">
        <v>72</v>
      </c>
      <c r="C7" s="11">
        <v>15</v>
      </c>
      <c r="D7" s="5" t="s">
        <v>29</v>
      </c>
      <c r="E7" s="9">
        <v>790</v>
      </c>
      <c r="F7" s="7">
        <f t="shared" si="0"/>
        <v>11850</v>
      </c>
    </row>
    <row r="8" spans="1:6">
      <c r="A8" s="2">
        <v>4</v>
      </c>
      <c r="B8" s="3" t="s">
        <v>73</v>
      </c>
      <c r="C8" s="11">
        <v>15</v>
      </c>
      <c r="D8" s="5" t="s">
        <v>12</v>
      </c>
      <c r="E8" s="9">
        <v>490</v>
      </c>
      <c r="F8" s="7">
        <f t="shared" si="0"/>
        <v>7350</v>
      </c>
    </row>
    <row r="9" spans="1:6">
      <c r="A9" s="2">
        <v>5</v>
      </c>
      <c r="B9" s="3" t="s">
        <v>74</v>
      </c>
      <c r="C9" s="11">
        <v>5</v>
      </c>
      <c r="D9" s="5" t="s">
        <v>12</v>
      </c>
      <c r="E9" s="9">
        <v>205</v>
      </c>
      <c r="F9" s="7">
        <f t="shared" si="0"/>
        <v>1025</v>
      </c>
    </row>
    <row r="10" spans="1:6">
      <c r="A10" s="2">
        <v>6</v>
      </c>
      <c r="B10" s="3" t="s">
        <v>75</v>
      </c>
      <c r="C10" s="11">
        <v>1</v>
      </c>
      <c r="D10" s="5" t="s">
        <v>12</v>
      </c>
      <c r="E10" s="6">
        <v>2200</v>
      </c>
      <c r="F10" s="7">
        <f t="shared" si="0"/>
        <v>2200</v>
      </c>
    </row>
    <row r="11" spans="1:6">
      <c r="A11" s="2">
        <v>7</v>
      </c>
      <c r="B11" s="58" t="s">
        <v>244</v>
      </c>
      <c r="C11" s="87">
        <v>20</v>
      </c>
      <c r="D11" s="88" t="s">
        <v>12</v>
      </c>
      <c r="E11" s="89">
        <v>50</v>
      </c>
      <c r="F11" s="7">
        <f t="shared" si="0"/>
        <v>1000</v>
      </c>
    </row>
    <row r="12" spans="1:6">
      <c r="A12" s="2">
        <v>8</v>
      </c>
      <c r="B12" s="58" t="s">
        <v>245</v>
      </c>
      <c r="C12" s="87">
        <v>2</v>
      </c>
      <c r="D12" s="88" t="s">
        <v>12</v>
      </c>
      <c r="E12" s="90">
        <v>1190</v>
      </c>
      <c r="F12" s="7">
        <f t="shared" si="0"/>
        <v>2380</v>
      </c>
    </row>
    <row r="13" spans="1:6">
      <c r="A13" s="2">
        <v>9</v>
      </c>
      <c r="B13" s="62" t="s">
        <v>246</v>
      </c>
      <c r="C13" s="91">
        <v>16</v>
      </c>
      <c r="D13" s="92" t="s">
        <v>71</v>
      </c>
      <c r="E13" s="93">
        <v>1680</v>
      </c>
      <c r="F13" s="7">
        <f t="shared" si="0"/>
        <v>26880</v>
      </c>
    </row>
    <row r="14" spans="1:6">
      <c r="A14" s="2">
        <v>10</v>
      </c>
      <c r="B14" s="62" t="s">
        <v>247</v>
      </c>
      <c r="C14" s="87">
        <v>20</v>
      </c>
      <c r="D14" s="88" t="s">
        <v>44</v>
      </c>
      <c r="E14" s="94">
        <v>35</v>
      </c>
      <c r="F14" s="7">
        <f t="shared" si="0"/>
        <v>700</v>
      </c>
    </row>
    <row r="15" spans="1:6">
      <c r="A15" s="2">
        <v>11</v>
      </c>
      <c r="B15" s="58" t="s">
        <v>248</v>
      </c>
      <c r="C15" s="87">
        <v>1</v>
      </c>
      <c r="D15" s="88" t="s">
        <v>20</v>
      </c>
      <c r="E15" s="90">
        <v>3850</v>
      </c>
      <c r="F15" s="7">
        <f t="shared" si="0"/>
        <v>3850</v>
      </c>
    </row>
    <row r="16" spans="1:6">
      <c r="A16" s="2">
        <v>12</v>
      </c>
      <c r="B16" s="58" t="s">
        <v>249</v>
      </c>
      <c r="C16" s="95">
        <v>1</v>
      </c>
      <c r="D16" s="96" t="s">
        <v>20</v>
      </c>
      <c r="E16" s="97">
        <v>1350</v>
      </c>
      <c r="F16" s="7">
        <f t="shared" si="0"/>
        <v>1350</v>
      </c>
    </row>
    <row r="17" spans="1:6">
      <c r="A17" s="2">
        <v>13</v>
      </c>
      <c r="B17" s="62" t="s">
        <v>250</v>
      </c>
      <c r="C17" s="87">
        <v>1</v>
      </c>
      <c r="D17" s="88" t="s">
        <v>12</v>
      </c>
      <c r="E17" s="98">
        <v>590</v>
      </c>
      <c r="F17" s="7">
        <f t="shared" si="0"/>
        <v>590</v>
      </c>
    </row>
    <row r="18" spans="1:6">
      <c r="A18" s="2">
        <v>14</v>
      </c>
      <c r="B18" s="62" t="s">
        <v>251</v>
      </c>
      <c r="C18" s="87">
        <v>3</v>
      </c>
      <c r="D18" s="88" t="s">
        <v>12</v>
      </c>
      <c r="E18" s="99">
        <v>350</v>
      </c>
      <c r="F18" s="7">
        <f t="shared" si="0"/>
        <v>1050</v>
      </c>
    </row>
    <row r="19" spans="1:6">
      <c r="A19" s="110" t="s">
        <v>67</v>
      </c>
      <c r="B19" s="110"/>
      <c r="C19" s="110"/>
      <c r="D19" s="7">
        <f>SUM(D5:D9)</f>
        <v>0</v>
      </c>
      <c r="E19" s="3"/>
      <c r="F19" s="7">
        <f>SUM(F5:F18)</f>
        <v>65585</v>
      </c>
    </row>
  </sheetData>
  <mergeCells count="7">
    <mergeCell ref="E2:E3"/>
    <mergeCell ref="F2:F3"/>
    <mergeCell ref="A19:C19"/>
    <mergeCell ref="A2:A3"/>
    <mergeCell ref="B2:B3"/>
    <mergeCell ref="C2:C3"/>
    <mergeCell ref="D2:D3"/>
  </mergeCells>
  <phoneticPr fontId="4" type="noConversion"/>
  <pageMargins left="0.62992125984251968" right="0.23622047244094491" top="0.74803149606299213" bottom="0.55118110236220474" header="0.31496062992125984" footer="0.31496062992125984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5E44-3674-4E75-A600-EE68B467C63B}">
  <dimension ref="A2:F22"/>
  <sheetViews>
    <sheetView zoomScale="90" zoomScaleNormal="90" workbookViewId="0">
      <selection activeCell="B27" sqref="B27"/>
    </sheetView>
  </sheetViews>
  <sheetFormatPr defaultColWidth="9.140625" defaultRowHeight="24"/>
  <cols>
    <col min="1" max="1" width="10.42578125" style="1" customWidth="1"/>
    <col min="2" max="2" width="35.28515625" style="1" customWidth="1"/>
    <col min="3" max="3" width="6.5703125" style="1" customWidth="1"/>
    <col min="4" max="4" width="8.140625" style="1" customWidth="1"/>
    <col min="5" max="5" width="10.140625" style="1" customWidth="1"/>
    <col min="6" max="6" width="12.140625" style="1" customWidth="1"/>
    <col min="7" max="7" width="10.85546875" style="1" customWidth="1"/>
    <col min="8" max="16384" width="9.140625" style="1"/>
  </cols>
  <sheetData>
    <row r="2" spans="1:6">
      <c r="A2" s="103" t="s">
        <v>1</v>
      </c>
      <c r="B2" s="103" t="s">
        <v>2</v>
      </c>
      <c r="C2" s="103" t="s">
        <v>3</v>
      </c>
      <c r="D2" s="103" t="s">
        <v>4</v>
      </c>
      <c r="E2" s="106" t="s">
        <v>5</v>
      </c>
      <c r="F2" s="105" t="s">
        <v>6</v>
      </c>
    </row>
    <row r="3" spans="1:6">
      <c r="A3" s="104"/>
      <c r="B3" s="104"/>
      <c r="C3" s="104"/>
      <c r="D3" s="104"/>
      <c r="E3" s="107"/>
      <c r="F3" s="105"/>
    </row>
    <row r="4" spans="1:6">
      <c r="A4" s="4"/>
      <c r="B4" s="21" t="s">
        <v>76</v>
      </c>
      <c r="C4" s="4"/>
      <c r="D4" s="4"/>
      <c r="E4" s="10"/>
      <c r="F4" s="20"/>
    </row>
    <row r="5" spans="1:6">
      <c r="A5" s="2">
        <v>1</v>
      </c>
      <c r="B5" s="3" t="s">
        <v>77</v>
      </c>
      <c r="C5" s="11">
        <v>6</v>
      </c>
      <c r="D5" s="5" t="s">
        <v>29</v>
      </c>
      <c r="E5" s="6">
        <v>50</v>
      </c>
      <c r="F5" s="6">
        <f>C5*E5</f>
        <v>300</v>
      </c>
    </row>
    <row r="6" spans="1:6">
      <c r="A6" s="2">
        <v>2</v>
      </c>
      <c r="B6" s="3" t="s">
        <v>78</v>
      </c>
      <c r="C6" s="11">
        <v>22</v>
      </c>
      <c r="D6" s="5" t="s">
        <v>79</v>
      </c>
      <c r="E6" s="6">
        <v>50</v>
      </c>
      <c r="F6" s="6">
        <f t="shared" ref="F6:F21" si="0">C6*E6</f>
        <v>1100</v>
      </c>
    </row>
    <row r="7" spans="1:6">
      <c r="A7" s="2">
        <v>3</v>
      </c>
      <c r="B7" s="3" t="s">
        <v>80</v>
      </c>
      <c r="C7" s="11">
        <v>6</v>
      </c>
      <c r="D7" s="5" t="s">
        <v>81</v>
      </c>
      <c r="E7" s="6">
        <v>95</v>
      </c>
      <c r="F7" s="6">
        <f t="shared" si="0"/>
        <v>570</v>
      </c>
    </row>
    <row r="8" spans="1:6">
      <c r="A8" s="2">
        <v>4</v>
      </c>
      <c r="B8" s="3" t="s">
        <v>83</v>
      </c>
      <c r="C8" s="11">
        <v>1</v>
      </c>
      <c r="D8" s="5" t="s">
        <v>84</v>
      </c>
      <c r="E8" s="6">
        <v>250</v>
      </c>
      <c r="F8" s="6">
        <f t="shared" si="0"/>
        <v>250</v>
      </c>
    </row>
    <row r="9" spans="1:6">
      <c r="A9" s="2">
        <v>5</v>
      </c>
      <c r="B9" s="3" t="s">
        <v>126</v>
      </c>
      <c r="C9" s="11">
        <v>6</v>
      </c>
      <c r="D9" s="5" t="s">
        <v>85</v>
      </c>
      <c r="E9" s="6">
        <v>95</v>
      </c>
      <c r="F9" s="6">
        <f t="shared" si="0"/>
        <v>570</v>
      </c>
    </row>
    <row r="10" spans="1:6">
      <c r="A10" s="2">
        <v>6</v>
      </c>
      <c r="B10" s="3" t="s">
        <v>127</v>
      </c>
      <c r="C10" s="11">
        <v>6</v>
      </c>
      <c r="D10" s="5" t="s">
        <v>85</v>
      </c>
      <c r="E10" s="6">
        <v>250</v>
      </c>
      <c r="F10" s="6">
        <f t="shared" si="0"/>
        <v>1500</v>
      </c>
    </row>
    <row r="11" spans="1:6">
      <c r="A11" s="2">
        <v>7</v>
      </c>
      <c r="B11" s="3" t="s">
        <v>128</v>
      </c>
      <c r="C11" s="11">
        <v>12</v>
      </c>
      <c r="D11" s="5" t="s">
        <v>36</v>
      </c>
      <c r="E11" s="6">
        <v>95</v>
      </c>
      <c r="F11" s="6">
        <f t="shared" si="0"/>
        <v>1140</v>
      </c>
    </row>
    <row r="12" spans="1:6">
      <c r="A12" s="2">
        <v>8</v>
      </c>
      <c r="B12" s="3" t="s">
        <v>87</v>
      </c>
      <c r="C12" s="12">
        <v>10</v>
      </c>
      <c r="D12" s="8" t="s">
        <v>11</v>
      </c>
      <c r="E12" s="6">
        <v>75</v>
      </c>
      <c r="F12" s="6">
        <f t="shared" si="0"/>
        <v>750</v>
      </c>
    </row>
    <row r="13" spans="1:6">
      <c r="A13" s="2">
        <v>9</v>
      </c>
      <c r="B13" s="3" t="s">
        <v>129</v>
      </c>
      <c r="C13" s="11">
        <v>4</v>
      </c>
      <c r="D13" s="5" t="s">
        <v>84</v>
      </c>
      <c r="E13" s="6">
        <v>240</v>
      </c>
      <c r="F13" s="6">
        <f t="shared" si="0"/>
        <v>960</v>
      </c>
    </row>
    <row r="14" spans="1:6">
      <c r="A14" s="2">
        <v>10</v>
      </c>
      <c r="B14" s="3" t="s">
        <v>130</v>
      </c>
      <c r="C14" s="11">
        <v>10</v>
      </c>
      <c r="D14" s="5" t="s">
        <v>12</v>
      </c>
      <c r="E14" s="6">
        <v>20</v>
      </c>
      <c r="F14" s="6">
        <f t="shared" si="0"/>
        <v>200</v>
      </c>
    </row>
    <row r="15" spans="1:6">
      <c r="A15" s="2">
        <v>11</v>
      </c>
      <c r="B15" s="3" t="s">
        <v>131</v>
      </c>
      <c r="C15" s="13">
        <v>10</v>
      </c>
      <c r="D15" s="5" t="s">
        <v>82</v>
      </c>
      <c r="E15" s="6">
        <v>140</v>
      </c>
      <c r="F15" s="6">
        <f t="shared" si="0"/>
        <v>1400</v>
      </c>
    </row>
    <row r="16" spans="1:6">
      <c r="A16" s="2">
        <v>12</v>
      </c>
      <c r="B16" s="3" t="s">
        <v>86</v>
      </c>
      <c r="C16" s="12">
        <v>20</v>
      </c>
      <c r="D16" s="8" t="s">
        <v>11</v>
      </c>
      <c r="E16" s="6">
        <v>75</v>
      </c>
      <c r="F16" s="6">
        <f t="shared" si="0"/>
        <v>1500</v>
      </c>
    </row>
    <row r="17" spans="1:6">
      <c r="A17" s="2">
        <v>13</v>
      </c>
      <c r="B17" s="3" t="s">
        <v>132</v>
      </c>
      <c r="C17" s="12">
        <v>12</v>
      </c>
      <c r="D17" s="8" t="s">
        <v>79</v>
      </c>
      <c r="E17" s="6">
        <v>45</v>
      </c>
      <c r="F17" s="6">
        <f t="shared" si="0"/>
        <v>540</v>
      </c>
    </row>
    <row r="18" spans="1:6">
      <c r="A18" s="2">
        <v>14</v>
      </c>
      <c r="B18" s="3" t="s">
        <v>133</v>
      </c>
      <c r="C18" s="12">
        <v>8</v>
      </c>
      <c r="D18" s="8" t="s">
        <v>82</v>
      </c>
      <c r="E18" s="6">
        <v>190</v>
      </c>
      <c r="F18" s="6">
        <f t="shared" si="0"/>
        <v>1520</v>
      </c>
    </row>
    <row r="19" spans="1:6">
      <c r="A19" s="2">
        <v>15</v>
      </c>
      <c r="B19" s="3" t="s">
        <v>134</v>
      </c>
      <c r="C19" s="12">
        <v>8</v>
      </c>
      <c r="D19" s="8" t="s">
        <v>12</v>
      </c>
      <c r="E19" s="6">
        <v>45</v>
      </c>
      <c r="F19" s="6">
        <f t="shared" si="0"/>
        <v>360</v>
      </c>
    </row>
    <row r="20" spans="1:6">
      <c r="A20" s="2">
        <v>16</v>
      </c>
      <c r="B20" s="3" t="s">
        <v>83</v>
      </c>
      <c r="C20" s="12">
        <v>1</v>
      </c>
      <c r="D20" s="8" t="s">
        <v>84</v>
      </c>
      <c r="E20" s="6">
        <v>280</v>
      </c>
      <c r="F20" s="6">
        <f t="shared" si="0"/>
        <v>280</v>
      </c>
    </row>
    <row r="21" spans="1:6">
      <c r="A21" s="2">
        <v>17</v>
      </c>
      <c r="B21" s="3" t="s">
        <v>135</v>
      </c>
      <c r="C21" s="12">
        <v>2</v>
      </c>
      <c r="D21" s="8" t="s">
        <v>71</v>
      </c>
      <c r="E21" s="6">
        <v>1500</v>
      </c>
      <c r="F21" s="6">
        <f t="shared" si="0"/>
        <v>3000</v>
      </c>
    </row>
    <row r="22" spans="1:6">
      <c r="A22" s="101" t="s">
        <v>67</v>
      </c>
      <c r="B22" s="101"/>
      <c r="C22" s="101"/>
      <c r="D22" s="7"/>
      <c r="E22" s="3"/>
      <c r="F22" s="7">
        <f>SUM(F5:F21)</f>
        <v>15940</v>
      </c>
    </row>
  </sheetData>
  <mergeCells count="7">
    <mergeCell ref="E2:E3"/>
    <mergeCell ref="F2:F3"/>
    <mergeCell ref="A22:C22"/>
    <mergeCell ref="A2:A3"/>
    <mergeCell ref="B2:B3"/>
    <mergeCell ref="C2:C3"/>
    <mergeCell ref="D2:D3"/>
  </mergeCells>
  <pageMargins left="0.72" right="0.47" top="0.31" bottom="0.2" header="0.3" footer="0.3"/>
  <pageSetup paperSize="256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CA60-3C06-43E0-B1A6-E3626F793BFD}">
  <dimension ref="A1:F88"/>
  <sheetViews>
    <sheetView zoomScaleNormal="100" workbookViewId="0">
      <selection activeCell="D9" sqref="D9"/>
    </sheetView>
  </sheetViews>
  <sheetFormatPr defaultColWidth="9.140625" defaultRowHeight="24"/>
  <cols>
    <col min="1" max="1" width="8.7109375" style="1" customWidth="1"/>
    <col min="2" max="2" width="36.42578125" style="1" customWidth="1"/>
    <col min="3" max="3" width="6.5703125" style="1" customWidth="1"/>
    <col min="4" max="4" width="8.140625" style="1" customWidth="1"/>
    <col min="5" max="5" width="10.140625" style="1" customWidth="1"/>
    <col min="6" max="6" width="12.140625" style="1" customWidth="1"/>
    <col min="7" max="7" width="10.85546875" style="1" customWidth="1"/>
    <col min="8" max="16384" width="9.140625" style="1"/>
  </cols>
  <sheetData>
    <row r="1" spans="1:6">
      <c r="A1" s="103" t="s">
        <v>1</v>
      </c>
      <c r="B1" s="103" t="s">
        <v>2</v>
      </c>
      <c r="C1" s="103" t="s">
        <v>3</v>
      </c>
      <c r="D1" s="103" t="s">
        <v>4</v>
      </c>
      <c r="E1" s="106" t="s">
        <v>5</v>
      </c>
      <c r="F1" s="105" t="s">
        <v>6</v>
      </c>
    </row>
    <row r="2" spans="1:6">
      <c r="A2" s="104"/>
      <c r="B2" s="104"/>
      <c r="C2" s="104"/>
      <c r="D2" s="104"/>
      <c r="E2" s="107"/>
      <c r="F2" s="105"/>
    </row>
    <row r="3" spans="1:6">
      <c r="A3" s="4"/>
      <c r="B3" s="21" t="s">
        <v>136</v>
      </c>
      <c r="C3" s="51"/>
      <c r="D3" s="51"/>
      <c r="E3" s="10"/>
      <c r="F3" s="20"/>
    </row>
    <row r="4" spans="1:6">
      <c r="A4" s="2">
        <v>1</v>
      </c>
      <c r="B4" s="54" t="s">
        <v>139</v>
      </c>
      <c r="C4" s="57">
        <v>12</v>
      </c>
      <c r="D4" s="53" t="s">
        <v>36</v>
      </c>
      <c r="E4" s="52">
        <v>155</v>
      </c>
      <c r="F4" s="6">
        <f>E4*C4</f>
        <v>1860</v>
      </c>
    </row>
    <row r="5" spans="1:6">
      <c r="A5" s="2">
        <v>2</v>
      </c>
      <c r="B5" s="54" t="s">
        <v>199</v>
      </c>
      <c r="C5" s="57">
        <v>12</v>
      </c>
      <c r="D5" s="53" t="s">
        <v>36</v>
      </c>
      <c r="E5" s="52">
        <v>85</v>
      </c>
      <c r="F5" s="6">
        <f t="shared" ref="F5:F20" si="0">E5*C5</f>
        <v>1020</v>
      </c>
    </row>
    <row r="6" spans="1:6">
      <c r="A6" s="2">
        <v>3</v>
      </c>
      <c r="B6" s="55" t="s">
        <v>200</v>
      </c>
      <c r="C6" s="57">
        <v>12</v>
      </c>
      <c r="D6" s="53" t="s">
        <v>36</v>
      </c>
      <c r="E6" s="52">
        <v>45</v>
      </c>
      <c r="F6" s="6">
        <f t="shared" si="0"/>
        <v>540</v>
      </c>
    </row>
    <row r="7" spans="1:6">
      <c r="A7" s="2">
        <v>4</v>
      </c>
      <c r="B7" s="54" t="s">
        <v>201</v>
      </c>
      <c r="C7" s="57">
        <v>6</v>
      </c>
      <c r="D7" s="53" t="s">
        <v>36</v>
      </c>
      <c r="E7" s="52">
        <v>65</v>
      </c>
      <c r="F7" s="6">
        <f t="shared" si="0"/>
        <v>390</v>
      </c>
    </row>
    <row r="8" spans="1:6">
      <c r="A8" s="2">
        <v>5</v>
      </c>
      <c r="B8" s="56" t="s">
        <v>202</v>
      </c>
      <c r="C8" s="57">
        <v>5</v>
      </c>
      <c r="D8" s="53" t="s">
        <v>29</v>
      </c>
      <c r="E8" s="52">
        <v>400</v>
      </c>
      <c r="F8" s="6">
        <f t="shared" si="0"/>
        <v>2000</v>
      </c>
    </row>
    <row r="9" spans="1:6">
      <c r="A9" s="2">
        <v>6</v>
      </c>
      <c r="B9" s="56" t="s">
        <v>203</v>
      </c>
      <c r="C9" s="57">
        <v>30</v>
      </c>
      <c r="D9" s="53" t="s">
        <v>29</v>
      </c>
      <c r="E9" s="52">
        <v>90</v>
      </c>
      <c r="F9" s="6">
        <f t="shared" si="0"/>
        <v>2700</v>
      </c>
    </row>
    <row r="10" spans="1:6">
      <c r="A10" s="2">
        <v>7</v>
      </c>
      <c r="B10" s="56" t="s">
        <v>204</v>
      </c>
      <c r="C10" s="57">
        <v>10</v>
      </c>
      <c r="D10" s="53" t="s">
        <v>29</v>
      </c>
      <c r="E10" s="52">
        <v>65</v>
      </c>
      <c r="F10" s="6">
        <f t="shared" si="0"/>
        <v>650</v>
      </c>
    </row>
    <row r="11" spans="1:6">
      <c r="A11" s="2">
        <v>8</v>
      </c>
      <c r="B11" s="54" t="s">
        <v>205</v>
      </c>
      <c r="C11" s="57">
        <v>15</v>
      </c>
      <c r="D11" s="53" t="s">
        <v>36</v>
      </c>
      <c r="E11" s="52">
        <v>65</v>
      </c>
      <c r="F11" s="6">
        <f t="shared" si="0"/>
        <v>975</v>
      </c>
    </row>
    <row r="12" spans="1:6">
      <c r="A12" s="2">
        <v>9</v>
      </c>
      <c r="B12" s="56" t="s">
        <v>206</v>
      </c>
      <c r="C12" s="57">
        <v>6</v>
      </c>
      <c r="D12" s="53" t="s">
        <v>36</v>
      </c>
      <c r="E12" s="52">
        <v>55</v>
      </c>
      <c r="F12" s="6">
        <f t="shared" si="0"/>
        <v>330</v>
      </c>
    </row>
    <row r="13" spans="1:6">
      <c r="A13" s="2">
        <v>10</v>
      </c>
      <c r="B13" s="56" t="s">
        <v>208</v>
      </c>
      <c r="C13" s="57">
        <v>2</v>
      </c>
      <c r="D13" s="53" t="s">
        <v>29</v>
      </c>
      <c r="E13" s="52">
        <v>1375</v>
      </c>
      <c r="F13" s="6">
        <f t="shared" si="0"/>
        <v>2750</v>
      </c>
    </row>
    <row r="14" spans="1:6">
      <c r="A14" s="2">
        <v>11</v>
      </c>
      <c r="B14" s="54" t="s">
        <v>207</v>
      </c>
      <c r="C14" s="57">
        <v>1</v>
      </c>
      <c r="D14" s="53" t="s">
        <v>29</v>
      </c>
      <c r="E14" s="52">
        <v>1000</v>
      </c>
      <c r="F14" s="6">
        <f t="shared" si="0"/>
        <v>1000</v>
      </c>
    </row>
    <row r="15" spans="1:6">
      <c r="A15" s="2">
        <v>12</v>
      </c>
      <c r="B15" s="54" t="s">
        <v>144</v>
      </c>
      <c r="C15" s="57">
        <v>30</v>
      </c>
      <c r="D15" s="53" t="s">
        <v>36</v>
      </c>
      <c r="E15" s="52">
        <v>65</v>
      </c>
      <c r="F15" s="6">
        <f t="shared" si="0"/>
        <v>1950</v>
      </c>
    </row>
    <row r="16" spans="1:6">
      <c r="A16" s="2">
        <v>13</v>
      </c>
      <c r="B16" s="54" t="s">
        <v>143</v>
      </c>
      <c r="C16" s="57">
        <v>15</v>
      </c>
      <c r="D16" s="53" t="s">
        <v>36</v>
      </c>
      <c r="E16" s="52">
        <v>95</v>
      </c>
      <c r="F16" s="6">
        <f t="shared" si="0"/>
        <v>1425</v>
      </c>
    </row>
    <row r="17" spans="1:6">
      <c r="A17" s="2">
        <v>14</v>
      </c>
      <c r="B17" s="54" t="s">
        <v>142</v>
      </c>
      <c r="C17" s="57">
        <v>15</v>
      </c>
      <c r="D17" s="53" t="s">
        <v>29</v>
      </c>
      <c r="E17" s="52">
        <v>150</v>
      </c>
      <c r="F17" s="6">
        <f t="shared" si="0"/>
        <v>2250</v>
      </c>
    </row>
    <row r="18" spans="1:6">
      <c r="A18" s="2">
        <v>15</v>
      </c>
      <c r="B18" s="54" t="s">
        <v>141</v>
      </c>
      <c r="C18" s="57">
        <v>15</v>
      </c>
      <c r="D18" s="53" t="s">
        <v>29</v>
      </c>
      <c r="E18" s="52">
        <v>100</v>
      </c>
      <c r="F18" s="6">
        <f t="shared" si="0"/>
        <v>1500</v>
      </c>
    </row>
    <row r="19" spans="1:6">
      <c r="A19" s="2">
        <v>16</v>
      </c>
      <c r="B19" s="54" t="s">
        <v>140</v>
      </c>
      <c r="C19" s="57">
        <v>15</v>
      </c>
      <c r="D19" s="53" t="s">
        <v>29</v>
      </c>
      <c r="E19" s="52">
        <v>80</v>
      </c>
      <c r="F19" s="6">
        <f t="shared" si="0"/>
        <v>1200</v>
      </c>
    </row>
    <row r="20" spans="1:6">
      <c r="A20" s="2">
        <v>17</v>
      </c>
      <c r="B20" s="54" t="s">
        <v>145</v>
      </c>
      <c r="C20" s="57">
        <v>12</v>
      </c>
      <c r="D20" s="53" t="s">
        <v>36</v>
      </c>
      <c r="E20" s="52">
        <v>55</v>
      </c>
      <c r="F20" s="6">
        <f t="shared" si="0"/>
        <v>660</v>
      </c>
    </row>
    <row r="21" spans="1:6">
      <c r="A21" s="101" t="s">
        <v>23</v>
      </c>
      <c r="B21" s="111"/>
      <c r="C21" s="101"/>
      <c r="D21" s="7"/>
      <c r="E21" s="3"/>
      <c r="F21" s="7">
        <f>SUM(F4:F20)</f>
        <v>23200</v>
      </c>
    </row>
    <row r="39" spans="1:6">
      <c r="A39" s="103" t="s">
        <v>1</v>
      </c>
      <c r="B39" s="103" t="s">
        <v>2</v>
      </c>
      <c r="C39" s="103" t="s">
        <v>3</v>
      </c>
      <c r="D39" s="103" t="s">
        <v>4</v>
      </c>
      <c r="E39" s="106" t="s">
        <v>5</v>
      </c>
      <c r="F39" s="106" t="s">
        <v>6</v>
      </c>
    </row>
    <row r="40" spans="1:6">
      <c r="A40" s="104"/>
      <c r="B40" s="104"/>
      <c r="C40" s="104"/>
      <c r="D40" s="104"/>
      <c r="E40" s="107"/>
      <c r="F40" s="107"/>
    </row>
    <row r="41" spans="1:6">
      <c r="A41" s="4"/>
      <c r="B41" s="21" t="s">
        <v>24</v>
      </c>
      <c r="C41" s="51"/>
      <c r="D41" s="51"/>
      <c r="E41" s="10"/>
      <c r="F41" s="17">
        <f>+F21</f>
        <v>23200</v>
      </c>
    </row>
    <row r="42" spans="1:6">
      <c r="A42" s="2">
        <v>18</v>
      </c>
      <c r="B42" s="50" t="s">
        <v>177</v>
      </c>
      <c r="C42" s="57">
        <v>6</v>
      </c>
      <c r="D42" s="53" t="s">
        <v>36</v>
      </c>
      <c r="E42" s="52">
        <v>90</v>
      </c>
      <c r="F42" s="6">
        <f>E42*C42</f>
        <v>540</v>
      </c>
    </row>
    <row r="43" spans="1:6">
      <c r="A43" s="2">
        <v>19</v>
      </c>
      <c r="B43" s="50" t="s">
        <v>150</v>
      </c>
      <c r="C43" s="57">
        <v>10</v>
      </c>
      <c r="D43" s="53" t="s">
        <v>11</v>
      </c>
      <c r="E43" s="52">
        <v>35</v>
      </c>
      <c r="F43" s="6">
        <f t="shared" ref="F43:F57" si="1">E43*C43</f>
        <v>350</v>
      </c>
    </row>
    <row r="44" spans="1:6">
      <c r="A44" s="2">
        <v>20</v>
      </c>
      <c r="B44" s="50" t="s">
        <v>178</v>
      </c>
      <c r="C44" s="57">
        <v>6</v>
      </c>
      <c r="D44" s="53" t="s">
        <v>36</v>
      </c>
      <c r="E44" s="52">
        <v>60</v>
      </c>
      <c r="F44" s="6">
        <f t="shared" si="1"/>
        <v>360</v>
      </c>
    </row>
    <row r="45" spans="1:6">
      <c r="A45" s="2">
        <v>21</v>
      </c>
      <c r="B45" s="50" t="s">
        <v>179</v>
      </c>
      <c r="C45" s="57">
        <v>10</v>
      </c>
      <c r="D45" s="53" t="s">
        <v>29</v>
      </c>
      <c r="E45" s="52">
        <v>80</v>
      </c>
      <c r="F45" s="6">
        <f t="shared" si="1"/>
        <v>800</v>
      </c>
    </row>
    <row r="46" spans="1:6">
      <c r="A46" s="2">
        <v>22</v>
      </c>
      <c r="B46" s="50" t="s">
        <v>209</v>
      </c>
      <c r="C46" s="57">
        <v>15</v>
      </c>
      <c r="D46" s="53" t="s">
        <v>29</v>
      </c>
      <c r="E46" s="52">
        <v>50</v>
      </c>
      <c r="F46" s="6">
        <f t="shared" si="1"/>
        <v>750</v>
      </c>
    </row>
    <row r="47" spans="1:6">
      <c r="A47" s="2">
        <v>23</v>
      </c>
      <c r="B47" s="50" t="s">
        <v>210</v>
      </c>
      <c r="C47" s="57">
        <v>21</v>
      </c>
      <c r="D47" s="53" t="s">
        <v>11</v>
      </c>
      <c r="E47" s="52">
        <v>30</v>
      </c>
      <c r="F47" s="6">
        <f t="shared" si="1"/>
        <v>630</v>
      </c>
    </row>
    <row r="48" spans="1:6">
      <c r="A48" s="2">
        <v>24</v>
      </c>
      <c r="B48" s="50" t="s">
        <v>151</v>
      </c>
      <c r="C48" s="57">
        <v>40</v>
      </c>
      <c r="D48" s="53" t="s">
        <v>152</v>
      </c>
      <c r="E48" s="6">
        <v>20</v>
      </c>
      <c r="F48" s="6">
        <f t="shared" si="1"/>
        <v>800</v>
      </c>
    </row>
    <row r="49" spans="1:6">
      <c r="A49" s="2">
        <v>25</v>
      </c>
      <c r="B49" s="50" t="s">
        <v>211</v>
      </c>
      <c r="C49" s="57">
        <v>6</v>
      </c>
      <c r="D49" s="53" t="s">
        <v>153</v>
      </c>
      <c r="E49" s="60">
        <v>80</v>
      </c>
      <c r="F49" s="6">
        <f t="shared" si="1"/>
        <v>480</v>
      </c>
    </row>
    <row r="50" spans="1:6">
      <c r="A50" s="2">
        <v>26</v>
      </c>
      <c r="B50" s="49" t="s">
        <v>212</v>
      </c>
      <c r="C50" s="57">
        <v>6</v>
      </c>
      <c r="D50" s="53" t="s">
        <v>153</v>
      </c>
      <c r="E50" s="61">
        <v>85</v>
      </c>
      <c r="F50" s="6">
        <f t="shared" si="1"/>
        <v>510</v>
      </c>
    </row>
    <row r="51" spans="1:6">
      <c r="A51" s="2">
        <v>27</v>
      </c>
      <c r="B51" s="49" t="s">
        <v>154</v>
      </c>
      <c r="C51" s="57">
        <v>6</v>
      </c>
      <c r="D51" s="53" t="s">
        <v>29</v>
      </c>
      <c r="E51" s="61">
        <v>250</v>
      </c>
      <c r="F51" s="6">
        <f t="shared" si="1"/>
        <v>1500</v>
      </c>
    </row>
    <row r="52" spans="1:6">
      <c r="A52" s="2">
        <v>28</v>
      </c>
      <c r="B52" s="49" t="s">
        <v>155</v>
      </c>
      <c r="C52" s="57">
        <v>6</v>
      </c>
      <c r="D52" s="53" t="s">
        <v>153</v>
      </c>
      <c r="E52" s="61">
        <v>90</v>
      </c>
      <c r="F52" s="6">
        <f t="shared" si="1"/>
        <v>540</v>
      </c>
    </row>
    <row r="53" spans="1:6">
      <c r="A53" s="2">
        <v>29</v>
      </c>
      <c r="B53" s="49" t="s">
        <v>156</v>
      </c>
      <c r="C53" s="57">
        <v>1</v>
      </c>
      <c r="D53" s="53" t="s">
        <v>29</v>
      </c>
      <c r="E53" s="61">
        <v>1000</v>
      </c>
      <c r="F53" s="6">
        <f t="shared" si="1"/>
        <v>1000</v>
      </c>
    </row>
    <row r="54" spans="1:6">
      <c r="A54" s="2">
        <v>30</v>
      </c>
      <c r="B54" s="49" t="s">
        <v>157</v>
      </c>
      <c r="C54" s="57">
        <v>1</v>
      </c>
      <c r="D54" s="53" t="s">
        <v>29</v>
      </c>
      <c r="E54" s="61">
        <v>1160</v>
      </c>
      <c r="F54" s="6">
        <f t="shared" si="1"/>
        <v>1160</v>
      </c>
    </row>
    <row r="55" spans="1:6">
      <c r="A55" s="2">
        <v>31</v>
      </c>
      <c r="B55" s="49" t="s">
        <v>158</v>
      </c>
      <c r="C55" s="57">
        <v>5</v>
      </c>
      <c r="D55" s="53" t="s">
        <v>29</v>
      </c>
      <c r="E55" s="61">
        <v>150</v>
      </c>
      <c r="F55" s="6">
        <f t="shared" si="1"/>
        <v>750</v>
      </c>
    </row>
    <row r="56" spans="1:6">
      <c r="A56" s="2">
        <v>32</v>
      </c>
      <c r="B56" s="49" t="s">
        <v>180</v>
      </c>
      <c r="C56" s="57">
        <v>5</v>
      </c>
      <c r="D56" s="53" t="s">
        <v>29</v>
      </c>
      <c r="E56" s="61">
        <v>300</v>
      </c>
      <c r="F56" s="6">
        <f t="shared" si="1"/>
        <v>1500</v>
      </c>
    </row>
    <row r="57" spans="1:6">
      <c r="A57" s="2">
        <v>33</v>
      </c>
      <c r="B57" s="49" t="s">
        <v>181</v>
      </c>
      <c r="C57" s="57">
        <v>6</v>
      </c>
      <c r="D57" s="53" t="s">
        <v>182</v>
      </c>
      <c r="E57" s="61">
        <v>60</v>
      </c>
      <c r="F57" s="6">
        <f t="shared" si="1"/>
        <v>360</v>
      </c>
    </row>
    <row r="58" spans="1:6">
      <c r="A58" s="112" t="s">
        <v>23</v>
      </c>
      <c r="B58" s="113"/>
      <c r="C58" s="114"/>
      <c r="D58" s="59"/>
      <c r="E58" s="48"/>
      <c r="F58" s="7">
        <f>SUM(F41:F57)</f>
        <v>35230</v>
      </c>
    </row>
    <row r="76" spans="1:6">
      <c r="A76" s="103" t="s">
        <v>1</v>
      </c>
      <c r="B76" s="103" t="s">
        <v>2</v>
      </c>
      <c r="C76" s="103" t="s">
        <v>3</v>
      </c>
      <c r="D76" s="103" t="s">
        <v>4</v>
      </c>
      <c r="E76" s="106" t="s">
        <v>5</v>
      </c>
      <c r="F76" s="106" t="s">
        <v>6</v>
      </c>
    </row>
    <row r="77" spans="1:6">
      <c r="A77" s="104"/>
      <c r="B77" s="104"/>
      <c r="C77" s="104"/>
      <c r="D77" s="104"/>
      <c r="E77" s="107"/>
      <c r="F77" s="107"/>
    </row>
    <row r="78" spans="1:6">
      <c r="A78" s="4"/>
      <c r="B78" s="21" t="s">
        <v>24</v>
      </c>
      <c r="C78" s="51"/>
      <c r="D78" s="51"/>
      <c r="E78" s="10"/>
      <c r="F78" s="17">
        <f>+F58</f>
        <v>35230</v>
      </c>
    </row>
    <row r="79" spans="1:6">
      <c r="A79" s="2">
        <v>34</v>
      </c>
      <c r="B79" s="50" t="s">
        <v>187</v>
      </c>
      <c r="C79" s="57">
        <v>4</v>
      </c>
      <c r="D79" s="53" t="s">
        <v>29</v>
      </c>
      <c r="E79" s="61">
        <v>150</v>
      </c>
      <c r="F79" s="52">
        <f>E79*C79</f>
        <v>600</v>
      </c>
    </row>
    <row r="80" spans="1:6">
      <c r="A80" s="2">
        <v>35</v>
      </c>
      <c r="B80" s="50" t="s">
        <v>188</v>
      </c>
      <c r="C80" s="57">
        <v>3</v>
      </c>
      <c r="D80" s="53" t="s">
        <v>29</v>
      </c>
      <c r="E80" s="61">
        <v>150</v>
      </c>
      <c r="F80" s="52">
        <f t="shared" ref="F80:F87" si="2">E80*C80</f>
        <v>450</v>
      </c>
    </row>
    <row r="81" spans="1:6">
      <c r="A81" s="2">
        <v>36</v>
      </c>
      <c r="B81" s="50" t="s">
        <v>213</v>
      </c>
      <c r="C81" s="57">
        <v>3</v>
      </c>
      <c r="D81" s="53" t="s">
        <v>36</v>
      </c>
      <c r="E81" s="61">
        <v>790</v>
      </c>
      <c r="F81" s="52">
        <f t="shared" si="2"/>
        <v>2370</v>
      </c>
    </row>
    <row r="82" spans="1:6">
      <c r="A82" s="2">
        <v>37</v>
      </c>
      <c r="B82" s="50" t="s">
        <v>214</v>
      </c>
      <c r="C82" s="57">
        <v>20</v>
      </c>
      <c r="D82" s="53" t="s">
        <v>36</v>
      </c>
      <c r="E82" s="61">
        <v>55</v>
      </c>
      <c r="F82" s="52">
        <f t="shared" si="2"/>
        <v>1100</v>
      </c>
    </row>
    <row r="83" spans="1:6">
      <c r="A83" s="2">
        <v>38</v>
      </c>
      <c r="B83" s="50" t="s">
        <v>215</v>
      </c>
      <c r="C83" s="57">
        <v>20</v>
      </c>
      <c r="D83" s="53" t="s">
        <v>36</v>
      </c>
      <c r="E83" s="61">
        <v>75</v>
      </c>
      <c r="F83" s="52">
        <f t="shared" si="2"/>
        <v>1500</v>
      </c>
    </row>
    <row r="84" spans="1:6">
      <c r="A84" s="2">
        <v>39</v>
      </c>
      <c r="B84" s="50" t="s">
        <v>189</v>
      </c>
      <c r="C84" s="57">
        <v>6</v>
      </c>
      <c r="D84" s="53" t="s">
        <v>36</v>
      </c>
      <c r="E84" s="61">
        <v>55</v>
      </c>
      <c r="F84" s="52">
        <f t="shared" si="2"/>
        <v>330</v>
      </c>
    </row>
    <row r="85" spans="1:6">
      <c r="A85" s="2">
        <v>40</v>
      </c>
      <c r="B85" s="50" t="s">
        <v>216</v>
      </c>
      <c r="C85" s="57">
        <v>20</v>
      </c>
      <c r="D85" s="53" t="s">
        <v>36</v>
      </c>
      <c r="E85" s="61">
        <v>45</v>
      </c>
      <c r="F85" s="52">
        <f t="shared" si="2"/>
        <v>900</v>
      </c>
    </row>
    <row r="86" spans="1:6">
      <c r="A86" s="2">
        <v>41</v>
      </c>
      <c r="B86" s="86" t="s">
        <v>217</v>
      </c>
      <c r="C86" s="57">
        <v>20</v>
      </c>
      <c r="D86" s="53" t="s">
        <v>36</v>
      </c>
      <c r="E86" s="61">
        <v>65</v>
      </c>
      <c r="F86" s="52">
        <f t="shared" si="2"/>
        <v>1300</v>
      </c>
    </row>
    <row r="87" spans="1:6">
      <c r="A87" s="2">
        <v>42</v>
      </c>
      <c r="B87" s="50" t="s">
        <v>218</v>
      </c>
      <c r="C87" s="57">
        <v>20</v>
      </c>
      <c r="D87" s="53" t="s">
        <v>36</v>
      </c>
      <c r="E87" s="61">
        <v>25</v>
      </c>
      <c r="F87" s="52">
        <f t="shared" si="2"/>
        <v>500</v>
      </c>
    </row>
    <row r="88" spans="1:6">
      <c r="A88" s="112" t="s">
        <v>67</v>
      </c>
      <c r="B88" s="113"/>
      <c r="C88" s="114"/>
      <c r="D88" s="59"/>
      <c r="E88" s="48"/>
      <c r="F88" s="7">
        <f>SUM(F78:F87)</f>
        <v>44280</v>
      </c>
    </row>
  </sheetData>
  <mergeCells count="21">
    <mergeCell ref="A88:C88"/>
    <mergeCell ref="A76:A77"/>
    <mergeCell ref="B76:B77"/>
    <mergeCell ref="C76:C77"/>
    <mergeCell ref="D76:D77"/>
    <mergeCell ref="E76:E77"/>
    <mergeCell ref="F76:F77"/>
    <mergeCell ref="F39:F40"/>
    <mergeCell ref="A58:C58"/>
    <mergeCell ref="E39:E40"/>
    <mergeCell ref="D39:D40"/>
    <mergeCell ref="C39:C40"/>
    <mergeCell ref="B39:B40"/>
    <mergeCell ref="A39:A40"/>
    <mergeCell ref="E1:E2"/>
    <mergeCell ref="F1:F2"/>
    <mergeCell ref="A21:C21"/>
    <mergeCell ref="A1:A2"/>
    <mergeCell ref="B1:B2"/>
    <mergeCell ref="C1:C2"/>
    <mergeCell ref="D1:D2"/>
  </mergeCells>
  <pageMargins left="0.7" right="0.7" top="0.44" bottom="0.2" header="0.3" footer="0.3"/>
  <pageSetup paperSize="256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C9B4-66FB-4799-A1A2-0CB4D756B32E}">
  <dimension ref="A1:F80"/>
  <sheetViews>
    <sheetView topLeftCell="A106" workbookViewId="0">
      <selection activeCell="H70" sqref="H70"/>
    </sheetView>
  </sheetViews>
  <sheetFormatPr defaultColWidth="9.140625" defaultRowHeight="24"/>
  <cols>
    <col min="1" max="1" width="8" style="1" customWidth="1"/>
    <col min="2" max="2" width="34.7109375" style="1" customWidth="1"/>
    <col min="3" max="3" width="7.85546875" style="1" customWidth="1"/>
    <col min="4" max="4" width="8.7109375" style="1" customWidth="1"/>
    <col min="5" max="5" width="10.28515625" style="1" customWidth="1"/>
    <col min="6" max="6" width="12.42578125" style="1" customWidth="1"/>
    <col min="7" max="7" width="9.140625" style="1"/>
    <col min="8" max="8" width="11.7109375" style="1" customWidth="1"/>
    <col min="9" max="16384" width="9.140625" style="1"/>
  </cols>
  <sheetData>
    <row r="1" spans="1:6">
      <c r="A1" s="103" t="s">
        <v>1</v>
      </c>
      <c r="B1" s="103" t="s">
        <v>2</v>
      </c>
      <c r="C1" s="103" t="s">
        <v>3</v>
      </c>
      <c r="D1" s="103" t="s">
        <v>4</v>
      </c>
      <c r="E1" s="106" t="s">
        <v>5</v>
      </c>
      <c r="F1" s="105" t="s">
        <v>6</v>
      </c>
    </row>
    <row r="2" spans="1:6">
      <c r="A2" s="104"/>
      <c r="B2" s="104"/>
      <c r="C2" s="104"/>
      <c r="D2" s="104"/>
      <c r="E2" s="107"/>
      <c r="F2" s="105"/>
    </row>
    <row r="3" spans="1:6">
      <c r="A3" s="4"/>
      <c r="B3" s="21" t="s">
        <v>88</v>
      </c>
      <c r="C3" s="4"/>
      <c r="D3" s="4"/>
      <c r="E3" s="10"/>
      <c r="F3" s="20"/>
    </row>
    <row r="4" spans="1:6">
      <c r="A4" s="2">
        <v>1</v>
      </c>
      <c r="B4" s="3" t="s">
        <v>89</v>
      </c>
      <c r="C4" s="77">
        <v>1</v>
      </c>
      <c r="D4" s="5" t="s">
        <v>71</v>
      </c>
      <c r="E4" s="6">
        <v>2950</v>
      </c>
      <c r="F4" s="7">
        <f>E4*C4</f>
        <v>2950</v>
      </c>
    </row>
    <row r="5" spans="1:6">
      <c r="A5" s="2">
        <v>2</v>
      </c>
      <c r="B5" s="3" t="s">
        <v>90</v>
      </c>
      <c r="C5" s="77">
        <v>4</v>
      </c>
      <c r="D5" s="5" t="s">
        <v>71</v>
      </c>
      <c r="E5" s="6">
        <v>2050</v>
      </c>
      <c r="F5" s="7">
        <f t="shared" ref="F5:F19" si="0">E5*C5</f>
        <v>8200</v>
      </c>
    </row>
    <row r="6" spans="1:6">
      <c r="A6" s="2">
        <v>3</v>
      </c>
      <c r="B6" s="3" t="s">
        <v>91</v>
      </c>
      <c r="C6" s="77">
        <v>4</v>
      </c>
      <c r="D6" s="5" t="s">
        <v>71</v>
      </c>
      <c r="E6" s="9">
        <v>150</v>
      </c>
      <c r="F6" s="7">
        <f t="shared" si="0"/>
        <v>600</v>
      </c>
    </row>
    <row r="7" spans="1:6">
      <c r="A7" s="2">
        <v>4</v>
      </c>
      <c r="B7" s="3" t="s">
        <v>92</v>
      </c>
      <c r="C7" s="77">
        <v>21</v>
      </c>
      <c r="D7" s="5" t="s">
        <v>71</v>
      </c>
      <c r="E7" s="9">
        <v>25</v>
      </c>
      <c r="F7" s="7">
        <f t="shared" si="0"/>
        <v>525</v>
      </c>
    </row>
    <row r="8" spans="1:6">
      <c r="A8" s="2">
        <v>5</v>
      </c>
      <c r="B8" s="3" t="s">
        <v>93</v>
      </c>
      <c r="C8" s="77">
        <v>6</v>
      </c>
      <c r="D8" s="5" t="s">
        <v>71</v>
      </c>
      <c r="E8" s="6">
        <v>455</v>
      </c>
      <c r="F8" s="7">
        <f t="shared" si="0"/>
        <v>2730</v>
      </c>
    </row>
    <row r="9" spans="1:6">
      <c r="A9" s="2">
        <v>6</v>
      </c>
      <c r="B9" s="3" t="s">
        <v>94</v>
      </c>
      <c r="C9" s="77">
        <v>4</v>
      </c>
      <c r="D9" s="5" t="s">
        <v>71</v>
      </c>
      <c r="E9" s="6">
        <v>1200</v>
      </c>
      <c r="F9" s="7">
        <f t="shared" si="0"/>
        <v>4800</v>
      </c>
    </row>
    <row r="10" spans="1:6">
      <c r="A10" s="2">
        <v>7</v>
      </c>
      <c r="B10" s="3" t="s">
        <v>95</v>
      </c>
      <c r="C10" s="78">
        <v>3</v>
      </c>
      <c r="D10" s="5" t="s">
        <v>71</v>
      </c>
      <c r="E10" s="9">
        <v>530</v>
      </c>
      <c r="F10" s="7">
        <f t="shared" si="0"/>
        <v>1590</v>
      </c>
    </row>
    <row r="11" spans="1:6">
      <c r="A11" s="2">
        <v>8</v>
      </c>
      <c r="B11" s="3" t="s">
        <v>96</v>
      </c>
      <c r="C11" s="79">
        <v>39</v>
      </c>
      <c r="D11" s="36" t="s">
        <v>12</v>
      </c>
      <c r="E11" s="9">
        <v>115</v>
      </c>
      <c r="F11" s="7">
        <f t="shared" si="0"/>
        <v>4485</v>
      </c>
    </row>
    <row r="12" spans="1:6">
      <c r="A12" s="2">
        <v>9</v>
      </c>
      <c r="B12" s="3" t="s">
        <v>97</v>
      </c>
      <c r="C12" s="79">
        <v>43</v>
      </c>
      <c r="D12" s="36" t="s">
        <v>12</v>
      </c>
      <c r="E12" s="70">
        <v>140</v>
      </c>
      <c r="F12" s="7">
        <f t="shared" si="0"/>
        <v>6020</v>
      </c>
    </row>
    <row r="13" spans="1:6">
      <c r="A13" s="2">
        <v>10</v>
      </c>
      <c r="B13" s="3" t="s">
        <v>98</v>
      </c>
      <c r="C13" s="79">
        <v>12</v>
      </c>
      <c r="D13" s="36" t="s">
        <v>12</v>
      </c>
      <c r="E13" s="9">
        <v>680</v>
      </c>
      <c r="F13" s="7">
        <f t="shared" si="0"/>
        <v>8160</v>
      </c>
    </row>
    <row r="14" spans="1:6">
      <c r="A14" s="2">
        <v>11</v>
      </c>
      <c r="B14" s="3" t="s">
        <v>99</v>
      </c>
      <c r="C14" s="80">
        <v>7</v>
      </c>
      <c r="D14" s="8" t="s">
        <v>12</v>
      </c>
      <c r="E14" s="9">
        <v>650</v>
      </c>
      <c r="F14" s="7">
        <f t="shared" si="0"/>
        <v>4550</v>
      </c>
    </row>
    <row r="15" spans="1:6">
      <c r="A15" s="2">
        <v>12</v>
      </c>
      <c r="B15" s="3" t="s">
        <v>100</v>
      </c>
      <c r="C15" s="81">
        <v>10</v>
      </c>
      <c r="D15" s="26" t="s">
        <v>12</v>
      </c>
      <c r="E15" s="71">
        <v>27</v>
      </c>
      <c r="F15" s="7">
        <f t="shared" si="0"/>
        <v>270</v>
      </c>
    </row>
    <row r="16" spans="1:6">
      <c r="A16" s="2">
        <v>13</v>
      </c>
      <c r="B16" s="3" t="s">
        <v>101</v>
      </c>
      <c r="C16" s="77">
        <v>10</v>
      </c>
      <c r="D16" s="5" t="s">
        <v>12</v>
      </c>
      <c r="E16" s="6">
        <v>90</v>
      </c>
      <c r="F16" s="7">
        <f t="shared" si="0"/>
        <v>900</v>
      </c>
    </row>
    <row r="17" spans="1:6">
      <c r="A17" s="2">
        <v>14</v>
      </c>
      <c r="B17" s="3" t="s">
        <v>102</v>
      </c>
      <c r="C17" s="77">
        <v>15</v>
      </c>
      <c r="D17" s="5" t="s">
        <v>12</v>
      </c>
      <c r="E17" s="6">
        <v>13</v>
      </c>
      <c r="F17" s="7">
        <f t="shared" si="0"/>
        <v>195</v>
      </c>
    </row>
    <row r="18" spans="1:6">
      <c r="A18" s="2">
        <v>15</v>
      </c>
      <c r="B18" s="49" t="s">
        <v>222</v>
      </c>
      <c r="C18" s="80">
        <v>3</v>
      </c>
      <c r="D18" s="8" t="s">
        <v>220</v>
      </c>
      <c r="E18" s="9">
        <v>590</v>
      </c>
      <c r="F18" s="7">
        <f t="shared" si="0"/>
        <v>1770</v>
      </c>
    </row>
    <row r="19" spans="1:6">
      <c r="A19" s="2">
        <v>16</v>
      </c>
      <c r="B19" s="49" t="s">
        <v>223</v>
      </c>
      <c r="C19" s="80">
        <v>2</v>
      </c>
      <c r="D19" s="8" t="s">
        <v>232</v>
      </c>
      <c r="E19" s="9">
        <v>150</v>
      </c>
      <c r="F19" s="7">
        <f t="shared" si="0"/>
        <v>300</v>
      </c>
    </row>
    <row r="20" spans="1:6">
      <c r="A20" s="101" t="s">
        <v>23</v>
      </c>
      <c r="B20" s="101"/>
      <c r="C20" s="101"/>
      <c r="D20" s="7">
        <f>SUM(D4:D14)</f>
        <v>0</v>
      </c>
      <c r="E20" s="3"/>
      <c r="F20" s="7">
        <f>SUM(F4:F19)</f>
        <v>48045</v>
      </c>
    </row>
    <row r="28" spans="1:6">
      <c r="A28" s="108"/>
      <c r="B28" s="108"/>
      <c r="C28" s="108"/>
      <c r="D28" s="108"/>
      <c r="E28" s="108"/>
      <c r="F28" s="108"/>
    </row>
    <row r="29" spans="1:6">
      <c r="A29" s="18"/>
      <c r="B29" s="18"/>
      <c r="C29" s="18"/>
      <c r="D29" s="18"/>
      <c r="E29" s="18"/>
      <c r="F29" s="18"/>
    </row>
    <row r="30" spans="1:6">
      <c r="A30" s="18"/>
      <c r="B30" s="18"/>
      <c r="C30" s="18"/>
      <c r="D30" s="18"/>
      <c r="E30" s="18"/>
      <c r="F30" s="18"/>
    </row>
    <row r="31" spans="1:6">
      <c r="A31" s="108"/>
      <c r="B31" s="108"/>
      <c r="C31" s="108"/>
      <c r="D31" s="108"/>
      <c r="E31" s="108"/>
      <c r="F31" s="108"/>
    </row>
    <row r="32" spans="1:6">
      <c r="A32" s="18"/>
      <c r="B32" s="18"/>
      <c r="C32" s="18"/>
      <c r="D32" s="18"/>
      <c r="E32" s="18"/>
      <c r="F32" s="18"/>
    </row>
    <row r="33" spans="1:6">
      <c r="A33" s="18"/>
      <c r="B33" s="18"/>
      <c r="C33" s="18"/>
      <c r="D33" s="18"/>
      <c r="E33" s="18"/>
      <c r="F33" s="18"/>
    </row>
    <row r="34" spans="1:6">
      <c r="A34" s="103" t="s">
        <v>1</v>
      </c>
      <c r="B34" s="103" t="s">
        <v>2</v>
      </c>
      <c r="C34" s="103" t="s">
        <v>3</v>
      </c>
      <c r="D34" s="103" t="s">
        <v>4</v>
      </c>
      <c r="E34" s="106" t="s">
        <v>5</v>
      </c>
      <c r="F34" s="105" t="s">
        <v>6</v>
      </c>
    </row>
    <row r="35" spans="1:6">
      <c r="A35" s="104"/>
      <c r="B35" s="104"/>
      <c r="C35" s="104"/>
      <c r="D35" s="104"/>
      <c r="E35" s="107"/>
      <c r="F35" s="105"/>
    </row>
    <row r="36" spans="1:6">
      <c r="A36" s="2"/>
      <c r="B36" s="15" t="s">
        <v>24</v>
      </c>
      <c r="C36" s="11"/>
      <c r="D36" s="5"/>
      <c r="E36" s="6"/>
      <c r="F36" s="7">
        <f>F20</f>
        <v>48045</v>
      </c>
    </row>
    <row r="37" spans="1:6">
      <c r="A37" s="2">
        <v>17</v>
      </c>
      <c r="B37" s="72" t="s">
        <v>224</v>
      </c>
      <c r="C37" s="82">
        <v>5</v>
      </c>
      <c r="D37" s="5" t="s">
        <v>20</v>
      </c>
      <c r="E37" s="84">
        <v>25</v>
      </c>
      <c r="F37" s="7">
        <f>E37*C37</f>
        <v>125</v>
      </c>
    </row>
    <row r="38" spans="1:6">
      <c r="A38" s="2">
        <v>18</v>
      </c>
      <c r="B38" s="49" t="s">
        <v>225</v>
      </c>
      <c r="C38" s="82">
        <v>2</v>
      </c>
      <c r="D38" s="5" t="s">
        <v>20</v>
      </c>
      <c r="E38" s="84">
        <v>3900</v>
      </c>
      <c r="F38" s="7">
        <f t="shared" ref="F38:F45" si="1">E38*C38</f>
        <v>7800</v>
      </c>
    </row>
    <row r="39" spans="1:6">
      <c r="A39" s="2">
        <v>19</v>
      </c>
      <c r="B39" s="73" t="s">
        <v>226</v>
      </c>
      <c r="C39" s="83">
        <v>2</v>
      </c>
      <c r="D39" s="74" t="s">
        <v>71</v>
      </c>
      <c r="E39" s="85">
        <v>450</v>
      </c>
      <c r="F39" s="7">
        <f t="shared" si="1"/>
        <v>900</v>
      </c>
    </row>
    <row r="40" spans="1:6">
      <c r="A40" s="2">
        <v>20</v>
      </c>
      <c r="B40" s="49" t="s">
        <v>227</v>
      </c>
      <c r="C40" s="82">
        <v>10</v>
      </c>
      <c r="D40" s="2" t="s">
        <v>18</v>
      </c>
      <c r="E40" s="22">
        <v>40</v>
      </c>
      <c r="F40" s="7">
        <f t="shared" si="1"/>
        <v>400</v>
      </c>
    </row>
    <row r="41" spans="1:6">
      <c r="A41" s="2">
        <v>21</v>
      </c>
      <c r="B41" s="49" t="s">
        <v>228</v>
      </c>
      <c r="C41" s="82">
        <v>28</v>
      </c>
      <c r="D41" s="2" t="s">
        <v>220</v>
      </c>
      <c r="E41" s="22">
        <v>6</v>
      </c>
      <c r="F41" s="7">
        <f t="shared" si="1"/>
        <v>168</v>
      </c>
    </row>
    <row r="42" spans="1:6">
      <c r="A42" s="2">
        <v>22</v>
      </c>
      <c r="B42" s="49" t="s">
        <v>229</v>
      </c>
      <c r="C42" s="82">
        <v>8</v>
      </c>
      <c r="D42" s="2" t="s">
        <v>220</v>
      </c>
      <c r="E42" s="22">
        <v>9</v>
      </c>
      <c r="F42" s="7">
        <f t="shared" si="1"/>
        <v>72</v>
      </c>
    </row>
    <row r="43" spans="1:6">
      <c r="A43" s="2">
        <v>23</v>
      </c>
      <c r="B43" s="49" t="s">
        <v>230</v>
      </c>
      <c r="C43" s="82">
        <v>6</v>
      </c>
      <c r="D43" s="2" t="s">
        <v>220</v>
      </c>
      <c r="E43" s="22">
        <v>8</v>
      </c>
      <c r="F43" s="7">
        <f t="shared" si="1"/>
        <v>48</v>
      </c>
    </row>
    <row r="44" spans="1:6">
      <c r="A44" s="2">
        <v>24</v>
      </c>
      <c r="B44" s="49" t="s">
        <v>231</v>
      </c>
      <c r="C44" s="82">
        <v>52</v>
      </c>
      <c r="D44" s="2" t="s">
        <v>153</v>
      </c>
      <c r="E44" s="22">
        <v>130</v>
      </c>
      <c r="F44" s="7">
        <f t="shared" si="1"/>
        <v>6760</v>
      </c>
    </row>
    <row r="45" spans="1:6">
      <c r="A45" s="2">
        <v>25</v>
      </c>
      <c r="B45" s="49" t="s">
        <v>233</v>
      </c>
      <c r="C45" s="82">
        <v>12</v>
      </c>
      <c r="D45" s="2" t="s">
        <v>71</v>
      </c>
      <c r="E45" s="22">
        <v>490</v>
      </c>
      <c r="F45" s="7">
        <f t="shared" si="1"/>
        <v>5880</v>
      </c>
    </row>
    <row r="46" spans="1:6">
      <c r="A46" s="101" t="s">
        <v>23</v>
      </c>
      <c r="B46" s="101"/>
      <c r="C46" s="101"/>
      <c r="D46" s="7">
        <f>SUM(D36:D45)</f>
        <v>0</v>
      </c>
      <c r="E46" s="3"/>
      <c r="F46" s="7">
        <f>SUM(F36:F45)</f>
        <v>70198</v>
      </c>
    </row>
    <row r="66" spans="1:6">
      <c r="A66" s="103" t="s">
        <v>1</v>
      </c>
      <c r="B66" s="103" t="s">
        <v>2</v>
      </c>
      <c r="C66" s="103" t="s">
        <v>3</v>
      </c>
      <c r="D66" s="103" t="s">
        <v>4</v>
      </c>
      <c r="E66" s="106" t="s">
        <v>5</v>
      </c>
      <c r="F66" s="105" t="s">
        <v>6</v>
      </c>
    </row>
    <row r="67" spans="1:6">
      <c r="A67" s="104"/>
      <c r="B67" s="104"/>
      <c r="C67" s="104"/>
      <c r="D67" s="104"/>
      <c r="E67" s="107"/>
      <c r="F67" s="105"/>
    </row>
    <row r="68" spans="1:6">
      <c r="A68" s="2"/>
      <c r="B68" s="15" t="s">
        <v>24</v>
      </c>
      <c r="C68" s="11"/>
      <c r="D68" s="5"/>
      <c r="E68" s="6"/>
      <c r="F68" s="7">
        <f>F46</f>
        <v>70198</v>
      </c>
    </row>
    <row r="69" spans="1:6">
      <c r="A69" s="2">
        <v>26</v>
      </c>
      <c r="B69" s="49" t="s">
        <v>243</v>
      </c>
      <c r="C69" s="57">
        <v>26</v>
      </c>
      <c r="D69" s="53" t="s">
        <v>71</v>
      </c>
      <c r="E69" s="76">
        <v>190</v>
      </c>
      <c r="F69" s="75">
        <f>E69*C69</f>
        <v>4940</v>
      </c>
    </row>
    <row r="70" spans="1:6">
      <c r="A70" s="2">
        <v>27</v>
      </c>
      <c r="B70" s="49" t="s">
        <v>103</v>
      </c>
      <c r="C70" s="57">
        <v>20</v>
      </c>
      <c r="D70" s="53" t="s">
        <v>220</v>
      </c>
      <c r="E70" s="76">
        <v>55</v>
      </c>
      <c r="F70" s="75">
        <f t="shared" ref="F70:F79" si="2">E70*C70</f>
        <v>1100</v>
      </c>
    </row>
    <row r="71" spans="1:6">
      <c r="A71" s="2">
        <v>28</v>
      </c>
      <c r="B71" s="49" t="s">
        <v>234</v>
      </c>
      <c r="C71" s="57">
        <v>20</v>
      </c>
      <c r="D71" s="53" t="s">
        <v>220</v>
      </c>
      <c r="E71" s="76">
        <v>150</v>
      </c>
      <c r="F71" s="75">
        <f t="shared" si="2"/>
        <v>3000</v>
      </c>
    </row>
    <row r="72" spans="1:6">
      <c r="A72" s="2">
        <v>29</v>
      </c>
      <c r="B72" s="49" t="s">
        <v>235</v>
      </c>
      <c r="C72" s="57">
        <v>20</v>
      </c>
      <c r="D72" s="53" t="s">
        <v>220</v>
      </c>
      <c r="E72" s="76">
        <v>175</v>
      </c>
      <c r="F72" s="75">
        <f t="shared" si="2"/>
        <v>3500</v>
      </c>
    </row>
    <row r="73" spans="1:6">
      <c r="A73" s="2">
        <v>30</v>
      </c>
      <c r="B73" s="49" t="s">
        <v>236</v>
      </c>
      <c r="C73" s="57">
        <v>20</v>
      </c>
      <c r="D73" s="53" t="s">
        <v>220</v>
      </c>
      <c r="E73" s="76">
        <v>35</v>
      </c>
      <c r="F73" s="75">
        <f t="shared" si="2"/>
        <v>700</v>
      </c>
    </row>
    <row r="74" spans="1:6">
      <c r="A74" s="2">
        <v>31</v>
      </c>
      <c r="B74" s="49" t="s">
        <v>237</v>
      </c>
      <c r="C74" s="57">
        <v>20</v>
      </c>
      <c r="D74" s="53" t="s">
        <v>220</v>
      </c>
      <c r="E74" s="76">
        <v>35</v>
      </c>
      <c r="F74" s="75">
        <f t="shared" si="2"/>
        <v>700</v>
      </c>
    </row>
    <row r="75" spans="1:6">
      <c r="A75" s="2">
        <v>32</v>
      </c>
      <c r="B75" s="49" t="s">
        <v>238</v>
      </c>
      <c r="C75" s="57">
        <v>20</v>
      </c>
      <c r="D75" s="53" t="s">
        <v>220</v>
      </c>
      <c r="E75" s="76">
        <v>35</v>
      </c>
      <c r="F75" s="75">
        <f t="shared" si="2"/>
        <v>700</v>
      </c>
    </row>
    <row r="76" spans="1:6">
      <c r="A76" s="2">
        <v>33</v>
      </c>
      <c r="B76" s="49" t="s">
        <v>239</v>
      </c>
      <c r="C76" s="57">
        <v>20</v>
      </c>
      <c r="D76" s="53" t="s">
        <v>220</v>
      </c>
      <c r="E76" s="76">
        <v>130</v>
      </c>
      <c r="F76" s="75">
        <f t="shared" si="2"/>
        <v>2600</v>
      </c>
    </row>
    <row r="77" spans="1:6">
      <c r="A77" s="2">
        <v>34</v>
      </c>
      <c r="B77" s="49" t="s">
        <v>240</v>
      </c>
      <c r="C77" s="57">
        <v>20</v>
      </c>
      <c r="D77" s="53" t="s">
        <v>220</v>
      </c>
      <c r="E77" s="76">
        <v>19</v>
      </c>
      <c r="F77" s="75">
        <f t="shared" si="2"/>
        <v>380</v>
      </c>
    </row>
    <row r="78" spans="1:6">
      <c r="A78" s="2">
        <v>35</v>
      </c>
      <c r="B78" s="49" t="s">
        <v>241</v>
      </c>
      <c r="C78" s="57">
        <v>20</v>
      </c>
      <c r="D78" s="53" t="s">
        <v>220</v>
      </c>
      <c r="E78" s="76">
        <v>30</v>
      </c>
      <c r="F78" s="75">
        <f t="shared" si="2"/>
        <v>600</v>
      </c>
    </row>
    <row r="79" spans="1:6">
      <c r="A79" s="2">
        <v>36</v>
      </c>
      <c r="B79" s="49" t="s">
        <v>242</v>
      </c>
      <c r="C79" s="57">
        <v>13</v>
      </c>
      <c r="D79" s="53" t="s">
        <v>220</v>
      </c>
      <c r="E79" s="76">
        <v>40</v>
      </c>
      <c r="F79" s="75">
        <f t="shared" si="2"/>
        <v>520</v>
      </c>
    </row>
    <row r="80" spans="1:6">
      <c r="A80" s="101" t="s">
        <v>67</v>
      </c>
      <c r="B80" s="101"/>
      <c r="C80" s="101"/>
      <c r="D80" s="7">
        <f>SUM(D68:D79)</f>
        <v>0</v>
      </c>
      <c r="E80" s="3"/>
      <c r="F80" s="7">
        <f>SUM(F68:F79)</f>
        <v>88938</v>
      </c>
    </row>
  </sheetData>
  <mergeCells count="23">
    <mergeCell ref="A46:C46"/>
    <mergeCell ref="A1:A2"/>
    <mergeCell ref="B1:B2"/>
    <mergeCell ref="C1:C2"/>
    <mergeCell ref="D1:D2"/>
    <mergeCell ref="A34:A35"/>
    <mergeCell ref="B34:B35"/>
    <mergeCell ref="C34:C35"/>
    <mergeCell ref="D34:D35"/>
    <mergeCell ref="E34:E35"/>
    <mergeCell ref="F34:F35"/>
    <mergeCell ref="E1:E2"/>
    <mergeCell ref="F1:F2"/>
    <mergeCell ref="A20:C20"/>
    <mergeCell ref="A28:F28"/>
    <mergeCell ref="A31:F31"/>
    <mergeCell ref="F66:F67"/>
    <mergeCell ref="A80:C80"/>
    <mergeCell ref="A66:A67"/>
    <mergeCell ref="B66:B67"/>
    <mergeCell ref="C66:C67"/>
    <mergeCell ref="D66:D67"/>
    <mergeCell ref="E66:E67"/>
  </mergeCells>
  <pageMargins left="0.7" right="0.7" top="0.75" bottom="0.59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7061-4B32-43FD-BF32-C90C26DDB53E}">
  <dimension ref="A2:F16"/>
  <sheetViews>
    <sheetView tabSelected="1" workbookViewId="0">
      <selection activeCell="A16" sqref="A16:C16"/>
    </sheetView>
  </sheetViews>
  <sheetFormatPr defaultColWidth="9.140625" defaultRowHeight="24"/>
  <cols>
    <col min="1" max="1" width="5.28515625" style="1" customWidth="1"/>
    <col min="2" max="2" width="35.42578125" style="1" customWidth="1"/>
    <col min="3" max="3" width="8.28515625" style="1" customWidth="1"/>
    <col min="4" max="4" width="9.85546875" style="1" customWidth="1"/>
    <col min="5" max="5" width="12" style="1" customWidth="1"/>
    <col min="6" max="6" width="11" style="1" customWidth="1"/>
    <col min="7" max="16384" width="9.140625" style="1"/>
  </cols>
  <sheetData>
    <row r="2" spans="1:6">
      <c r="A2" s="103" t="s">
        <v>1</v>
      </c>
      <c r="B2" s="103" t="s">
        <v>2</v>
      </c>
      <c r="C2" s="103" t="s">
        <v>3</v>
      </c>
      <c r="D2" s="103" t="s">
        <v>4</v>
      </c>
      <c r="E2" s="106" t="s">
        <v>5</v>
      </c>
      <c r="F2" s="105" t="s">
        <v>6</v>
      </c>
    </row>
    <row r="3" spans="1:6">
      <c r="A3" s="104"/>
      <c r="B3" s="104"/>
      <c r="C3" s="104"/>
      <c r="D3" s="104"/>
      <c r="E3" s="107"/>
      <c r="F3" s="105"/>
    </row>
    <row r="4" spans="1:6">
      <c r="A4" s="4"/>
      <c r="B4" s="21" t="s">
        <v>104</v>
      </c>
      <c r="C4" s="4"/>
      <c r="D4" s="4"/>
      <c r="E4" s="10"/>
      <c r="F4" s="20"/>
    </row>
    <row r="5" spans="1:6">
      <c r="A5" s="2">
        <v>1</v>
      </c>
      <c r="B5" s="3" t="s">
        <v>106</v>
      </c>
      <c r="C5" s="11">
        <v>30</v>
      </c>
      <c r="D5" s="5" t="s">
        <v>20</v>
      </c>
      <c r="E5" s="9">
        <v>11</v>
      </c>
      <c r="F5" s="7">
        <f>C5*E5</f>
        <v>330</v>
      </c>
    </row>
    <row r="6" spans="1:6">
      <c r="A6" s="2">
        <v>2</v>
      </c>
      <c r="B6" s="3" t="s">
        <v>105</v>
      </c>
      <c r="C6" s="11">
        <v>32</v>
      </c>
      <c r="D6" s="5" t="s">
        <v>12</v>
      </c>
      <c r="E6" s="9">
        <v>6</v>
      </c>
      <c r="F6" s="7">
        <f t="shared" ref="F6:F15" si="0">C6*E6</f>
        <v>192</v>
      </c>
    </row>
    <row r="7" spans="1:6">
      <c r="A7" s="2">
        <v>3</v>
      </c>
      <c r="B7" s="3" t="s">
        <v>107</v>
      </c>
      <c r="C7" s="11">
        <v>5</v>
      </c>
      <c r="D7" s="5" t="s">
        <v>12</v>
      </c>
      <c r="E7" s="9">
        <v>55</v>
      </c>
      <c r="F7" s="7">
        <f t="shared" si="0"/>
        <v>275</v>
      </c>
    </row>
    <row r="8" spans="1:6">
      <c r="A8" s="2">
        <v>4</v>
      </c>
      <c r="B8" s="3" t="s">
        <v>108</v>
      </c>
      <c r="C8" s="11">
        <v>5</v>
      </c>
      <c r="D8" s="5" t="s">
        <v>82</v>
      </c>
      <c r="E8" s="9">
        <v>95</v>
      </c>
      <c r="F8" s="7">
        <f t="shared" si="0"/>
        <v>475</v>
      </c>
    </row>
    <row r="9" spans="1:6">
      <c r="A9" s="2">
        <v>5</v>
      </c>
      <c r="B9" s="3" t="s">
        <v>109</v>
      </c>
      <c r="C9" s="12">
        <v>1</v>
      </c>
      <c r="D9" s="5" t="s">
        <v>82</v>
      </c>
      <c r="E9" s="9">
        <v>240</v>
      </c>
      <c r="F9" s="7">
        <f t="shared" si="0"/>
        <v>240</v>
      </c>
    </row>
    <row r="10" spans="1:6">
      <c r="A10" s="2">
        <v>6</v>
      </c>
      <c r="B10" s="3" t="s">
        <v>110</v>
      </c>
      <c r="C10" s="16">
        <v>11</v>
      </c>
      <c r="D10" s="8" t="s">
        <v>12</v>
      </c>
      <c r="E10" s="9">
        <v>200</v>
      </c>
      <c r="F10" s="7">
        <f t="shared" si="0"/>
        <v>2200</v>
      </c>
    </row>
    <row r="11" spans="1:6">
      <c r="A11" s="2">
        <v>7</v>
      </c>
      <c r="B11" s="3" t="s">
        <v>111</v>
      </c>
      <c r="C11" s="12">
        <v>18</v>
      </c>
      <c r="D11" s="8" t="s">
        <v>12</v>
      </c>
      <c r="E11" s="9">
        <v>300</v>
      </c>
      <c r="F11" s="7">
        <f t="shared" si="0"/>
        <v>5400</v>
      </c>
    </row>
    <row r="12" spans="1:6">
      <c r="A12" s="2">
        <v>8</v>
      </c>
      <c r="B12" s="3" t="s">
        <v>112</v>
      </c>
      <c r="C12" s="12">
        <v>2</v>
      </c>
      <c r="D12" s="8" t="s">
        <v>81</v>
      </c>
      <c r="E12" s="9">
        <v>50</v>
      </c>
      <c r="F12" s="7">
        <f t="shared" si="0"/>
        <v>100</v>
      </c>
    </row>
    <row r="13" spans="1:6">
      <c r="A13" s="2">
        <v>9</v>
      </c>
      <c r="B13" s="3" t="s">
        <v>113</v>
      </c>
      <c r="C13" s="12">
        <v>3</v>
      </c>
      <c r="D13" s="8" t="s">
        <v>81</v>
      </c>
      <c r="E13" s="9">
        <v>130</v>
      </c>
      <c r="F13" s="7">
        <f t="shared" si="0"/>
        <v>390</v>
      </c>
    </row>
    <row r="14" spans="1:6">
      <c r="A14" s="2">
        <v>10</v>
      </c>
      <c r="B14" s="3" t="s">
        <v>219</v>
      </c>
      <c r="C14" s="13">
        <v>5</v>
      </c>
      <c r="D14" s="5" t="s">
        <v>220</v>
      </c>
      <c r="E14" s="9">
        <v>27</v>
      </c>
      <c r="F14" s="7">
        <f t="shared" si="0"/>
        <v>135</v>
      </c>
    </row>
    <row r="15" spans="1:6">
      <c r="A15" s="2">
        <v>11</v>
      </c>
      <c r="B15" s="3" t="s">
        <v>221</v>
      </c>
      <c r="C15" s="12">
        <v>5</v>
      </c>
      <c r="D15" s="8" t="s">
        <v>220</v>
      </c>
      <c r="E15" s="9">
        <v>65</v>
      </c>
      <c r="F15" s="7">
        <f t="shared" si="0"/>
        <v>325</v>
      </c>
    </row>
    <row r="16" spans="1:6">
      <c r="A16" s="101" t="s">
        <v>67</v>
      </c>
      <c r="B16" s="101"/>
      <c r="C16" s="101"/>
      <c r="D16" s="7">
        <f>SUM(D5:D15)</f>
        <v>0</v>
      </c>
      <c r="E16" s="3"/>
      <c r="F16" s="7">
        <f>SUM(F5:F15)</f>
        <v>10062</v>
      </c>
    </row>
  </sheetData>
  <mergeCells count="7">
    <mergeCell ref="F2:F3"/>
    <mergeCell ref="A16:C16"/>
    <mergeCell ref="A2:A3"/>
    <mergeCell ref="B2:B3"/>
    <mergeCell ref="C2:C3"/>
    <mergeCell ref="D2:D3"/>
    <mergeCell ref="E2:E3"/>
  </mergeCells>
  <pageMargins left="0.7" right="0.7" top="0.65" bottom="0.27" header="0.66" footer="0.3"/>
  <pageSetup paperSize="256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6B10-D122-460D-9CBB-DB5C68D5DADF}">
  <dimension ref="B2:I24"/>
  <sheetViews>
    <sheetView topLeftCell="A3" workbookViewId="0">
      <selection activeCell="C17" sqref="C17"/>
    </sheetView>
  </sheetViews>
  <sheetFormatPr defaultRowHeight="15"/>
  <cols>
    <col min="1" max="1" width="5" customWidth="1"/>
    <col min="2" max="2" width="8.5703125" customWidth="1"/>
    <col min="3" max="3" width="34.42578125" customWidth="1"/>
    <col min="4" max="4" width="17.140625" customWidth="1"/>
    <col min="5" max="5" width="11.7109375" customWidth="1"/>
  </cols>
  <sheetData>
    <row r="2" spans="2:9" ht="4.5" customHeight="1"/>
    <row r="3" spans="2:9" ht="28.5" customHeight="1">
      <c r="B3" s="108" t="s">
        <v>0</v>
      </c>
      <c r="C3" s="108"/>
      <c r="D3" s="108"/>
      <c r="E3" s="108"/>
    </row>
    <row r="4" spans="2:9" ht="24" customHeight="1">
      <c r="B4" s="108" t="s">
        <v>122</v>
      </c>
      <c r="C4" s="108"/>
      <c r="D4" s="108"/>
      <c r="E4" s="108"/>
    </row>
    <row r="5" spans="2:9" ht="24">
      <c r="B5" s="108" t="s">
        <v>114</v>
      </c>
      <c r="C5" s="108"/>
      <c r="D5" s="108"/>
      <c r="E5" s="108"/>
    </row>
    <row r="6" spans="2:9" ht="24">
      <c r="B6" s="108" t="s">
        <v>115</v>
      </c>
      <c r="C6" s="108"/>
      <c r="D6" s="108"/>
      <c r="E6" s="108"/>
    </row>
    <row r="7" spans="2:9" ht="24">
      <c r="B7" s="1"/>
      <c r="C7" s="1"/>
      <c r="D7" s="1"/>
      <c r="E7" s="1"/>
    </row>
    <row r="8" spans="2:9">
      <c r="B8" s="103" t="s">
        <v>1</v>
      </c>
      <c r="C8" s="103" t="s">
        <v>2</v>
      </c>
      <c r="D8" s="103" t="s">
        <v>116</v>
      </c>
      <c r="E8" s="106" t="s">
        <v>117</v>
      </c>
    </row>
    <row r="9" spans="2:9">
      <c r="B9" s="104"/>
      <c r="C9" s="104"/>
      <c r="D9" s="104"/>
      <c r="E9" s="107"/>
    </row>
    <row r="10" spans="2:9" ht="24">
      <c r="B10" s="2">
        <v>1</v>
      </c>
      <c r="C10" s="3" t="s">
        <v>7</v>
      </c>
      <c r="D10" s="11">
        <v>143066</v>
      </c>
      <c r="E10" s="9"/>
      <c r="I10" t="s">
        <v>118</v>
      </c>
    </row>
    <row r="11" spans="2:9" ht="24">
      <c r="B11" s="2">
        <v>2</v>
      </c>
      <c r="C11" s="3" t="s">
        <v>68</v>
      </c>
      <c r="D11" s="100">
        <v>65585</v>
      </c>
      <c r="E11" s="9"/>
    </row>
    <row r="12" spans="2:9" ht="24">
      <c r="B12" s="2">
        <v>3</v>
      </c>
      <c r="C12" s="3" t="s">
        <v>76</v>
      </c>
      <c r="D12" s="11">
        <v>15940</v>
      </c>
      <c r="E12" s="9"/>
    </row>
    <row r="13" spans="2:9" ht="24">
      <c r="B13" s="2">
        <v>4</v>
      </c>
      <c r="C13" s="3" t="s">
        <v>119</v>
      </c>
      <c r="D13" s="11">
        <v>88938</v>
      </c>
      <c r="E13" s="9"/>
    </row>
    <row r="14" spans="2:9" ht="24">
      <c r="B14" s="2">
        <v>5</v>
      </c>
      <c r="C14" s="3" t="s">
        <v>104</v>
      </c>
      <c r="D14" s="11">
        <v>10062</v>
      </c>
      <c r="E14" s="9"/>
    </row>
    <row r="15" spans="2:9" ht="24">
      <c r="B15" s="2">
        <v>6</v>
      </c>
      <c r="C15" s="3" t="s">
        <v>136</v>
      </c>
      <c r="D15" s="11">
        <v>44280</v>
      </c>
      <c r="E15" s="9"/>
    </row>
    <row r="16" spans="2:9" ht="24">
      <c r="B16" s="2"/>
      <c r="C16" s="2" t="s">
        <v>120</v>
      </c>
      <c r="D16" s="11">
        <f>SUM(D10:D15)</f>
        <v>367871</v>
      </c>
      <c r="E16" s="9"/>
    </row>
    <row r="17" spans="2:5" ht="24">
      <c r="B17" s="1"/>
      <c r="C17" s="1"/>
      <c r="D17" s="1"/>
      <c r="E17" s="1"/>
    </row>
    <row r="18" spans="2:5" ht="24">
      <c r="B18" s="1"/>
      <c r="C18" s="1"/>
      <c r="D18" s="1"/>
      <c r="E18" s="1"/>
    </row>
    <row r="19" spans="2:5" ht="24">
      <c r="B19" s="1"/>
      <c r="C19" s="1"/>
      <c r="D19" s="1"/>
      <c r="E19" s="1"/>
    </row>
    <row r="20" spans="2:5" ht="24">
      <c r="B20" s="1"/>
      <c r="C20" s="1"/>
      <c r="D20" s="1"/>
      <c r="E20" s="1"/>
    </row>
    <row r="21" spans="2:5" ht="24">
      <c r="B21" s="1"/>
      <c r="C21" s="1"/>
      <c r="D21" s="1"/>
      <c r="E21" s="1"/>
    </row>
    <row r="22" spans="2:5" ht="24">
      <c r="B22" s="1"/>
      <c r="C22" s="1"/>
      <c r="D22" s="1"/>
      <c r="E22" s="1"/>
    </row>
    <row r="23" spans="2:5" ht="24">
      <c r="B23" s="1"/>
      <c r="C23" s="1"/>
      <c r="D23" s="1"/>
      <c r="E23" s="1"/>
    </row>
    <row r="24" spans="2:5" ht="24">
      <c r="B24" s="1"/>
      <c r="C24" s="1"/>
      <c r="D24" s="1"/>
      <c r="E24" s="1"/>
    </row>
  </sheetData>
  <mergeCells count="8">
    <mergeCell ref="B8:B9"/>
    <mergeCell ref="C8:C9"/>
    <mergeCell ref="D8:D9"/>
    <mergeCell ref="E8:E9"/>
    <mergeCell ref="B3:E3"/>
    <mergeCell ref="B4:E4"/>
    <mergeCell ref="B5:E5"/>
    <mergeCell ref="B6:E6"/>
  </mergeCells>
  <pageMargins left="0.7" right="0.7" top="0.75" bottom="0.75" header="0.3" footer="0.3"/>
  <pageSetup paperSize="256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สำนักงาน</vt:lpstr>
      <vt:lpstr>วัสดุคอมพิวเตอร์</vt:lpstr>
      <vt:lpstr>งานบ้านงานครัว</vt:lpstr>
      <vt:lpstr>วิทยาศาสตร์</vt:lpstr>
      <vt:lpstr>ไฟฟ้า</vt:lpstr>
      <vt:lpstr>ก่อสร้าง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Kosonpisit Punoi</cp:lastModifiedBy>
  <cp:revision/>
  <cp:lastPrinted>2025-01-23T06:21:41Z</cp:lastPrinted>
  <dcterms:created xsi:type="dcterms:W3CDTF">2021-09-27T06:56:03Z</dcterms:created>
  <dcterms:modified xsi:type="dcterms:W3CDTF">2025-01-23T06:22:05Z</dcterms:modified>
  <cp:category/>
  <cp:contentStatus/>
</cp:coreProperties>
</file>